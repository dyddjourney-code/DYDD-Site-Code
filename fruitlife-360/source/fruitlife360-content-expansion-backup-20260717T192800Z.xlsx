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_HERE" sheetId="1" r:id="rId5"/>
    <sheet state="visible" name="Assessment_Config" sheetId="2" r:id="rId6"/>
    <sheet state="visible" name="Question_Bank" sheetId="3" r:id="rId7"/>
    <sheet state="visible" name="Participant_Setup" sheetId="4" r:id="rId8"/>
    <sheet state="visible" name="Response_Intake" sheetId="5" r:id="rId9"/>
    <sheet state="visible" name="Report_Queue" sheetId="6" r:id="rId10"/>
    <sheet state="visible" name="Report_Data" sheetId="7" r:id="rId11"/>
    <sheet state="visible" name="Report_Export" sheetId="8" r:id="rId12"/>
    <sheet state="visible" name="Report_Control" sheetId="9" r:id="rId13"/>
    <sheet state="visible" name="PDFMonkey_Payload" sheetId="10" r:id="rId14"/>
    <sheet state="visible" name="Version_Notes" sheetId="11" r:id="rId15"/>
    <sheet state="visible" name="Reviewer_Roster_360" sheetId="12" r:id="rId16"/>
    <sheet state="visible" name="Score_Aggregates_360" sheetId="13" r:id="rId17"/>
    <sheet state="visible" name="Fruit_Aggregates_360" sheetId="14" r:id="rId18"/>
    <sheet state="visible" name="Open_Feedback_360" sheetId="15" r:id="rId19"/>
    <sheet state="visible" name="Final_Reflection_360" sheetId="16" r:id="rId20"/>
    <sheet state="visible" name="Report_Data_360" sheetId="17" r:id="rId21"/>
    <sheet state="visible" name="Report_Export_360" sheetId="18" r:id="rId22"/>
    <sheet state="visible" name="Report_Control_360" sheetId="19" r:id="rId23"/>
    <sheet state="visible" name="PDFMonkey_Payload_360" sheetId="20" r:id="rId24"/>
  </sheets>
  <definedNames/>
  <calcPr/>
</workbook>
</file>

<file path=xl/sharedStrings.xml><?xml version="1.0" encoding="utf-8"?>
<sst xmlns="http://schemas.openxmlformats.org/spreadsheetml/2006/main" count="991" uniqueCount="601">
  <si>
    <t>Fruit of the Spirit Reflection / Fruit of the Spirit 360 Starter Workbook</t>
  </si>
  <si>
    <t>Purpose</t>
  </si>
  <si>
    <t>One workbook for the self-only reflection and the future 360 peer version.</t>
  </si>
  <si>
    <t>Core Positioning</t>
  </si>
  <si>
    <t>This is not a label. It is a mirror for spiritual growth.</t>
  </si>
  <si>
    <t>Bridge Line</t>
  </si>
  <si>
    <t>The fruit reveals what is becoming visible in your life; DesignID helps you understand the God-given design through which that fruit is meant to be expressed.</t>
  </si>
  <si>
    <t>Recommended Build Order</t>
  </si>
  <si>
    <t>Review Question_Bank.</t>
  </si>
  <si>
    <t>Use Response_Intake as the raw form response tab.</t>
  </si>
  <si>
    <t>Use Report_Export as the report-ready output row.</t>
  </si>
  <si>
    <t>Use Report_Control to select a report row for preview/PDFMonkey.</t>
  </si>
  <si>
    <t>Use PDFMonkey_Payload if you later build a DPG-style Make/PDFMonkey flow.</t>
  </si>
  <si>
    <t>Important Rule</t>
  </si>
  <si>
    <t>Open comments are for the peer/360 version only, not for the self-review version.</t>
  </si>
  <si>
    <t>Workbook Tab Map</t>
  </si>
  <si>
    <t>Tab Name</t>
  </si>
  <si>
    <t>Copy/Paste Status</t>
  </si>
  <si>
    <t>START_HERE</t>
  </si>
  <si>
    <t>Plain-language setup notes for the workbook.</t>
  </si>
  <si>
    <t>Create manually.</t>
  </si>
  <si>
    <t>Assessment_Config</t>
  </si>
  <si>
    <t>Core settings, scale labels, report positioning, and version details.</t>
  </si>
  <si>
    <t>Use rating-scale.tsv and core language from product brief.</t>
  </si>
  <si>
    <t>Question_Bank</t>
  </si>
  <si>
    <t>Master list of the 27 rating statements and definitions.</t>
  </si>
  <si>
    <t>Use question-bank.tsv.</t>
  </si>
  <si>
    <t>Participant_Setup</t>
  </si>
  <si>
    <t>One row per person receiving a report.</t>
  </si>
  <si>
    <t>Create from intake or manually.</t>
  </si>
  <si>
    <t>Response_Intake</t>
  </si>
  <si>
    <t>Raw form responses from self and peer reviewers.</t>
  </si>
  <si>
    <t>Use response-intake-columns.tsv as headers.</t>
  </si>
  <si>
    <t>Report_Queue</t>
  </si>
  <si>
    <t>Tracks which reports are ready, queued, generated, or sent.</t>
  </si>
  <si>
    <t>Create manually, same spirit as DPG.</t>
  </si>
  <si>
    <t>Report_Data</t>
  </si>
  <si>
    <t>Helper calculations and fruit averages by participant.</t>
  </si>
  <si>
    <t>Formula-driven.</t>
  </si>
  <si>
    <t>Report_Export</t>
  </si>
  <si>
    <t>Clean report-ready row for PDFMonkey or page rendering.</t>
  </si>
  <si>
    <t>Use report-export-columns.tsv as headers.</t>
  </si>
  <si>
    <t>Report_Control</t>
  </si>
  <si>
    <t>Select one Participant_ID to preview/test a report.</t>
  </si>
  <si>
    <t>PDFMonkey_Payload</t>
  </si>
  <si>
    <t>Final payload fields if using the DPG-style PDFMonkey path.</t>
  </si>
  <si>
    <t>Can mirror Report_Export later.</t>
  </si>
  <si>
    <t>Version_Notes</t>
  </si>
  <si>
    <t>Change log for question, scoring, and report language changes.</t>
  </si>
  <si>
    <t>Assessment Name - Self Version</t>
  </si>
  <si>
    <t>Fruit of the Spirit Reflection</t>
  </si>
  <si>
    <t>Assessment Name - Peer Version</t>
  </si>
  <si>
    <t>Fruit of the Spirit 360</t>
  </si>
  <si>
    <t>Review Types</t>
  </si>
  <si>
    <t>Self, Peer</t>
  </si>
  <si>
    <t>Rating Scale</t>
  </si>
  <si>
    <t>Score</t>
  </si>
  <si>
    <t>Label</t>
  </si>
  <si>
    <t>Report Language</t>
  </si>
  <si>
    <t>Rarely visible</t>
  </si>
  <si>
    <t>This fruit may be less visible right now and could become an intentional area of growth.</t>
  </si>
  <si>
    <t>Occasionally visible</t>
  </si>
  <si>
    <t>This fruit appears at times, but may not yet be expressed consistently.</t>
  </si>
  <si>
    <t>Sometimes visible</t>
  </si>
  <si>
    <t>This fruit is meaningfully present, with room for greater consistency and maturity.</t>
  </si>
  <si>
    <t>Often visible</t>
  </si>
  <si>
    <t>This fruit is often visible and appears to be a growing strength.</t>
  </si>
  <si>
    <t>Consistently visible</t>
  </si>
  <si>
    <t>This fruit is consistently visible and appears to be a mature, practiced expression.</t>
  </si>
  <si>
    <t>Forced Sort Prompts</t>
  </si>
  <si>
    <t>Mode</t>
  </si>
  <si>
    <t>Prompt</t>
  </si>
  <si>
    <t>Instruction</t>
  </si>
  <si>
    <t>Self</t>
  </si>
  <si>
    <t>Most Visible Fruit</t>
  </si>
  <si>
    <t>Select the three fruit that feel most consistently visible in your life right now.</t>
  </si>
  <si>
    <t>Growth Focus Fruit</t>
  </si>
  <si>
    <t>Select the three fruit you sense God may be inviting you to intentionally cultivate in this season.</t>
  </si>
  <si>
    <t>Peer</t>
  </si>
  <si>
    <t>Select the three fruit that seem most consistently visible in this person's life right now.</t>
  </si>
  <si>
    <t>Select the three fruit that may be most valuable for this person to intentionally cultivate in this season.</t>
  </si>
  <si>
    <t>Open Comment Field Rules</t>
  </si>
  <si>
    <t>Field</t>
  </si>
  <si>
    <t>Use</t>
  </si>
  <si>
    <t>Peer_Comment_Strength</t>
  </si>
  <si>
    <t>Do not show.</t>
  </si>
  <si>
    <t>Peer_Comment_Growth</t>
  </si>
  <si>
    <t>Peer_Comment_Encouragement</t>
  </si>
  <si>
    <t>Optional: Where do you most clearly see fruit in this person's life?</t>
  </si>
  <si>
    <t>Optional: Where might growth or intentional cultivation be helpful?</t>
  </si>
  <si>
    <t>Optional: What encouragement would you offer this person?</t>
  </si>
  <si>
    <t>Report Language By Fruit</t>
  </si>
  <si>
    <t>Fruit</t>
  </si>
  <si>
    <t>High Reflection</t>
  </si>
  <si>
    <t>Growth Reflection</t>
  </si>
  <si>
    <t>Suggested Practice</t>
  </si>
  <si>
    <t>Love</t>
  </si>
  <si>
    <t>Love appears to be a visible and life-giving strength. This person likely moves toward others with care, service, and compassion.</t>
  </si>
  <si>
    <t>Growth in love may involve moving toward people more intentionally, especially when it is inconvenient or costly.</t>
  </si>
  <si>
    <t>Choose one person this week to serve quietly and specifically without needing recognition.</t>
  </si>
  <si>
    <t>Joy</t>
  </si>
  <si>
    <t>Joy appears to be a visible source of hope and perspective. This person may help others remember goodness even in imperfect circumstances.</t>
  </si>
  <si>
    <t>Growth in joy may involve practicing gratitude and learning to celebrate God's work without comparison.</t>
  </si>
  <si>
    <t>Write down three evidences of God's goodness each day for seven days.</t>
  </si>
  <si>
    <t>Peace</t>
  </si>
  <si>
    <t>Peace appears to be a visible form of steadiness. This person may help calm, reconcile, and stabilize the spaces they enter.</t>
  </si>
  <si>
    <t>Growth in peace may involve learning to pause, pray, and pursue reconciliation before reacting to anxiety or conflict.</t>
  </si>
  <si>
    <t>Before responding to tension, pause for one minute and ask, "What would make for peace here?"</t>
  </si>
  <si>
    <t>Patience</t>
  </si>
  <si>
    <t>Patience appears to be a visible strength in the way this person handles delay, process, and people.</t>
  </si>
  <si>
    <t>Growth in patience may involve giving people and processes more room without rushing, shaming, or withdrawing.</t>
  </si>
  <si>
    <t>Identify one slow process or difficult person and choose a faithful response before the next interaction.</t>
  </si>
  <si>
    <t>Kindness</t>
  </si>
  <si>
    <t>Kindness appears to be a visible expression of care through words, presence, and practical help.</t>
  </si>
  <si>
    <t>Growth in kindness may involve becoming more attentive to small opportunities to encourage and dignify others.</t>
  </si>
  <si>
    <t>Give one specific encouragement each day to someone who may not expect it.</t>
  </si>
  <si>
    <t>Goodness</t>
  </si>
  <si>
    <t>Goodness appears to be visible through integrity, conviction, and active commitment to what is right and life-giving.</t>
  </si>
  <si>
    <t>Growth in goodness may involve aligning private choices, public actions, and stated values more fully.</t>
  </si>
  <si>
    <t>Review one decision this week through the question, "What is the most faithful and life-giving option?"</t>
  </si>
  <si>
    <t>Faithfulness</t>
  </si>
  <si>
    <t>Faithfulness appears to be visible through reliability, loyalty, and steady follow-through over time.</t>
  </si>
  <si>
    <t>Growth in faithfulness may involve strengthening consistency where commitments, relationships, or responsibilities have become easy to neglect.</t>
  </si>
  <si>
    <t>Choose one commitment that needs renewed attention and take one concrete step of follow-through.</t>
  </si>
  <si>
    <t>Gentleness</t>
  </si>
  <si>
    <t>Gentleness appears to be visible as strength under control, expressed with humility and care.</t>
  </si>
  <si>
    <t>Growth in gentleness may involve bringing truth or strength with less pressure, harshness, or defensiveness.</t>
  </si>
  <si>
    <t>In one hard conversation, focus on being both truthful and tender.</t>
  </si>
  <si>
    <t>Self-Control</t>
  </si>
  <si>
    <t>Self-control appears to be visible through disciplined responses, habits, words, and choices.</t>
  </si>
  <si>
    <t>Growth in self-control may involve surrendering impulsive reactions and practicing wiser rhythms.</t>
  </si>
  <si>
    <t>Choose one recurring impulse and create a simple pause, prayer, or boundary before acting on it.</t>
  </si>
  <si>
    <t>Code</t>
  </si>
  <si>
    <t>Definition</t>
  </si>
  <si>
    <t>Self Rating Statement</t>
  </si>
  <si>
    <t>Peer Rating Statement</t>
  </si>
  <si>
    <t>LOVE_01</t>
  </si>
  <si>
    <t>Sacrificial care that moves toward others for their good.</t>
  </si>
  <si>
    <t>I move toward others with genuine care, even when it costs me time, comfort, or convenience.</t>
  </si>
  <si>
    <t>This person moves toward others with genuine care, even when it costs time, comfort, or convenience.</t>
  </si>
  <si>
    <t>LOVE_02</t>
  </si>
  <si>
    <t>I show concern for people as whole persons, not just for what they can accomplish or provide.</t>
  </si>
  <si>
    <t>This person shows concern for people as whole persons, not just for what they can accomplish or provide.</t>
  </si>
  <si>
    <t>LOVE_03</t>
  </si>
  <si>
    <t>I choose patience, service, and compassion when others are difficult, inconvenient, or different from me.</t>
  </si>
  <si>
    <t>This person chooses patience, service, and compassion when others are difficult, inconvenient, or different from them.</t>
  </si>
  <si>
    <t>JOY_01</t>
  </si>
  <si>
    <t>Deep gladness rooted in God that can remain present beyond circumstances.</t>
  </si>
  <si>
    <t>I am able to carry a steady gladness that is not dependent only on circumstances going my way.</t>
  </si>
  <si>
    <t>This person carries a steady gladness that is not dependent only on circumstances going their way.</t>
  </si>
  <si>
    <t>JOY_02</t>
  </si>
  <si>
    <t>I help create hope, gratitude, and life-giving perspective in the people around me.</t>
  </si>
  <si>
    <t>This person helps create hope, gratitude, and life-giving perspective in the people around them.</t>
  </si>
  <si>
    <t>JOY_03</t>
  </si>
  <si>
    <t>I can celebrate what God is doing in others without comparison, resentment, or competition.</t>
  </si>
  <si>
    <t>This person can celebrate what God is doing in others without comparison, resentment, or competition.</t>
  </si>
  <si>
    <t>PEACE_01</t>
  </si>
  <si>
    <t>Settled trust in God that brings steadiness, reconciliation, and calm.</t>
  </si>
  <si>
    <t>I remain grounded and steady when circumstances, people, or outcomes feel uncertain.</t>
  </si>
  <si>
    <t>This person remains grounded and steady when circumstances, people, or outcomes feel uncertain.</t>
  </si>
  <si>
    <t>PEACE_02</t>
  </si>
  <si>
    <t>I help reduce anxiety, conflict, or confusion rather than adding to it.</t>
  </si>
  <si>
    <t>This person helps reduce anxiety, conflict, or confusion rather than adding to it.</t>
  </si>
  <si>
    <t>PEACE_03</t>
  </si>
  <si>
    <t>I pursue reconciliation and wholeness when relationships become strained.</t>
  </si>
  <si>
    <t>This person pursues reconciliation and wholeness when relationships become strained.</t>
  </si>
  <si>
    <t>PATIENCE_01</t>
  </si>
  <si>
    <t>Steadfast endurance with people, process, weakness, and delay.</t>
  </si>
  <si>
    <t>I can stay faithful and composed when progress is slow or outcomes take longer than expected.</t>
  </si>
  <si>
    <t>This person stays faithful and composed when progress is slow or outcomes take longer than expected.</t>
  </si>
  <si>
    <t>PATIENCE_02</t>
  </si>
  <si>
    <t>I give people room to grow without rushing, shaming, or giving up on them too quickly.</t>
  </si>
  <si>
    <t>This person gives people room to grow without rushing, shaming, or giving up on them too quickly.</t>
  </si>
  <si>
    <t>PATIENCE_03</t>
  </si>
  <si>
    <t>I respond to irritation, delay, or inconvenience with restraint and perspective.</t>
  </si>
  <si>
    <t>This person responds to irritation, delay, or inconvenience with restraint and perspective.</t>
  </si>
  <si>
    <t>KINDNESS_01</t>
  </si>
  <si>
    <t>Tender, practical goodness expressed through words, presence, and action.</t>
  </si>
  <si>
    <t>I notice practical ways to encourage, help, or bless people around me.</t>
  </si>
  <si>
    <t>This person notices practical ways to encourage, help, or bless people around them.</t>
  </si>
  <si>
    <t>KINDNESS_02</t>
  </si>
  <si>
    <t>My words tend to bring dignity, encouragement, and gentleness to others.</t>
  </si>
  <si>
    <t>This person's words tend to bring dignity, encouragement, and gentleness to others.</t>
  </si>
  <si>
    <t>KINDNESS_03</t>
  </si>
  <si>
    <t>I am approachable and safe for people who are hurting, discouraged, or uncertain.</t>
  </si>
  <si>
    <t>This person is approachable and safe for people who are hurting, discouraged, or uncertain.</t>
  </si>
  <si>
    <t>GOODNESS_01</t>
  </si>
  <si>
    <t>Moral integrity and active commitment to what is right, true, and life-giving.</t>
  </si>
  <si>
    <t>I choose what is right and life-giving even when it is inconvenient or unseen.</t>
  </si>
  <si>
    <t>This person chooses what is right and life-giving even when it is inconvenient or unseen.</t>
  </si>
  <si>
    <t>GOODNESS_02</t>
  </si>
  <si>
    <t>My actions are generally aligned with my stated values and convictions.</t>
  </si>
  <si>
    <t>This person's actions are generally aligned with their stated values and convictions.</t>
  </si>
  <si>
    <t>GOODNESS_03</t>
  </si>
  <si>
    <t>I use my influence to protect, serve, and build up others rather than simply benefit myself.</t>
  </si>
  <si>
    <t>This person uses influence to protect, serve, and build up others rather than simply benefit themselves.</t>
  </si>
  <si>
    <t>FAITHFULNESS_01</t>
  </si>
  <si>
    <t>Reliability, loyalty, and steady trustworthiness over time.</t>
  </si>
  <si>
    <t>I follow through on commitments and can be counted on over time.</t>
  </si>
  <si>
    <t>This person follows through on commitments and can be counted on over time.</t>
  </si>
  <si>
    <t>FAITHFULNESS_02</t>
  </si>
  <si>
    <t>I remain loyal and steady in relationships, responsibilities, and convictions.</t>
  </si>
  <si>
    <t>This person remains loyal and steady in relationships, responsibilities, and convictions.</t>
  </si>
  <si>
    <t>FAITHFULNESS_03</t>
  </si>
  <si>
    <t>I stay faithful to what God has entrusted to me, even when recognition is limited.</t>
  </si>
  <si>
    <t>This person stays faithful to what God has entrusted to them, even when recognition is limited.</t>
  </si>
  <si>
    <t>GENTLENESS_01</t>
  </si>
  <si>
    <t>Strength under control, expressed with humility, tenderness, and care.</t>
  </si>
  <si>
    <t>I can bring truth, correction, or strength without harshness or intimidation.</t>
  </si>
  <si>
    <t>This person can bring truth, correction, or strength without harshness or intimidation.</t>
  </si>
  <si>
    <t>GENTLENESS_02</t>
  </si>
  <si>
    <t>I make it easier for others to be honest, vulnerable, or imperfect around me.</t>
  </si>
  <si>
    <t>This person makes it easier for others to be honest, vulnerable, or imperfect around them.</t>
  </si>
  <si>
    <t>GENTLENESS_03</t>
  </si>
  <si>
    <t>I use influence with humility and care rather than pressure, control, or force.</t>
  </si>
  <si>
    <t>This person uses influence with humility and care rather than pressure, control, or force.</t>
  </si>
  <si>
    <t>SELFCONTROL_01</t>
  </si>
  <si>
    <t>Spirit-formed discipline that governs desires, reactions, words, and choices.</t>
  </si>
  <si>
    <t>I respond thoughtfully rather than being ruled by impulse, emotion, or pressure.</t>
  </si>
  <si>
    <t>This person responds thoughtfully rather than being ruled by impulse, emotion, or pressure.</t>
  </si>
  <si>
    <t>SELFCONTROL_02</t>
  </si>
  <si>
    <t>I demonstrate discipline in my speech, habits, decisions, and use of time.</t>
  </si>
  <si>
    <t>This person demonstrates discipline in speech, habits, decisions, and use of time.</t>
  </si>
  <si>
    <t>SELFCONTROL_03</t>
  </si>
  <si>
    <t>I can delay immediate desires for what is wiser, healthier, or more faithful.</t>
  </si>
  <si>
    <t>This person can delay immediate desires for what is wiser, healthier, or more faithful.</t>
  </si>
  <si>
    <t>Participant_ID</t>
  </si>
  <si>
    <t>Participant_Name</t>
  </si>
  <si>
    <t>Participant_Email</t>
  </si>
  <si>
    <t>Assessment_Mode</t>
  </si>
  <si>
    <t>Status</t>
  </si>
  <si>
    <t>Created_Date</t>
  </si>
  <si>
    <t>Self_Form_Link</t>
  </si>
  <si>
    <t>Peer_Form_Link</t>
  </si>
  <si>
    <t>Notes</t>
  </si>
  <si>
    <t>Timestamp</t>
  </si>
  <si>
    <t>Review_Type</t>
  </si>
  <si>
    <t>Reviewer_Name</t>
  </si>
  <si>
    <t>Reviewer_Email</t>
  </si>
  <si>
    <t>Relationship</t>
  </si>
  <si>
    <t>Most_Visible_1</t>
  </si>
  <si>
    <t>Most_Visible_2</t>
  </si>
  <si>
    <t>Most_Visible_3</t>
  </si>
  <si>
    <t>Growth_Focus_1</t>
  </si>
  <si>
    <t>Growth_Focus_2</t>
  </si>
  <si>
    <t>Growth_Focus_3</t>
  </si>
  <si>
    <t>Love_Avg</t>
  </si>
  <si>
    <t>Joy_Avg</t>
  </si>
  <si>
    <t>Peace_Avg</t>
  </si>
  <si>
    <t>Patience_Avg</t>
  </si>
  <si>
    <t>Kindness_Avg</t>
  </si>
  <si>
    <t>Goodness_Avg</t>
  </si>
  <si>
    <t>Faithfulness_Avg</t>
  </si>
  <si>
    <t>Gentleness_Avg</t>
  </si>
  <si>
    <t>SelfControl_Avg</t>
  </si>
  <si>
    <t>Reviewer_Group</t>
  </si>
  <si>
    <t>Response_ID</t>
  </si>
  <si>
    <t>Invite_Token</t>
  </si>
  <si>
    <t>DesignID_Status</t>
  </si>
  <si>
    <t>DesignID_Primary</t>
  </si>
  <si>
    <t>DesignID_Secondary</t>
  </si>
  <si>
    <t>Love_Pressure</t>
  </si>
  <si>
    <t>Joy_Pressure</t>
  </si>
  <si>
    <t>Peace_Pressure</t>
  </si>
  <si>
    <t>Patience_Pressure</t>
  </si>
  <si>
    <t>Kindness_Pressure</t>
  </si>
  <si>
    <t>Goodness_Pressure</t>
  </si>
  <si>
    <t>Faithfulness_Pressure</t>
  </si>
  <si>
    <t>Gentleness_Pressure</t>
  </si>
  <si>
    <t>SelfControl_Pressure</t>
  </si>
  <si>
    <t>Final_Reflection</t>
  </si>
  <si>
    <t>Observer_Encouragement</t>
  </si>
  <si>
    <t>Observer_Growth_Invitation</t>
  </si>
  <si>
    <t>2026-07-17T18:10:00Z</t>
  </si>
  <si>
    <t>FL360-SAMPLE</t>
  </si>
  <si>
    <t>Sample Person</t>
  </si>
  <si>
    <t>sample@example.com</t>
  </si>
  <si>
    <t>Self-control</t>
  </si>
  <si>
    <t>RESP-SAMPLE-SELF</t>
  </si>
  <si>
    <t>SELF-SAMPLE</t>
  </si>
  <si>
    <t>Known</t>
  </si>
  <si>
    <t>Shepherd</t>
  </si>
  <si>
    <t>Steward</t>
  </si>
  <si>
    <t>I want the Holy Spirit to grow patience and self-control in this season.</t>
  </si>
  <si>
    <t>2026-07-17T18:11:00Z</t>
  </si>
  <si>
    <t>Observer One</t>
  </si>
  <si>
    <t>observer1@example.com</t>
  </si>
  <si>
    <t>Close friend</t>
  </si>
  <si>
    <t>They move toward people with care and practical help.</t>
  </si>
  <si>
    <t>They could slow down when frustrated or overloaded.</t>
  </si>
  <si>
    <t>Their care is very visible and encouraging.</t>
  </si>
  <si>
    <t>Close Relationship</t>
  </si>
  <si>
    <t>RESP-SAMPLE-OBS1</t>
  </si>
  <si>
    <t>OBS-SAMPLE-1</t>
  </si>
  <si>
    <t>Their care for people feels genuine.</t>
  </si>
  <si>
    <t>Patience under pressure may be a growth invitation.</t>
  </si>
  <si>
    <t>2026-07-17T18:12:00Z</t>
  </si>
  <si>
    <t>Observer Two</t>
  </si>
  <si>
    <t>observer2@example.com</t>
  </si>
  <si>
    <t>Ministry teammate</t>
  </si>
  <si>
    <t>They are dependable and choose what is right even when it costs them.</t>
  </si>
  <si>
    <t>They can carry too much and get quiet instead of asking for help.</t>
  </si>
  <si>
    <t>Their faithfulness builds trust.</t>
  </si>
  <si>
    <t>Ministry / Team</t>
  </si>
  <si>
    <t>RESP-SAMPLE-OBS2</t>
  </si>
  <si>
    <t>OBS-SAMPLE-2</t>
  </si>
  <si>
    <t>Their goodness and faithfulness are steady.</t>
  </si>
  <si>
    <t>Gentleness and patience under pressure could grow.</t>
  </si>
  <si>
    <t>2026-07-17T18:13:00Z</t>
  </si>
  <si>
    <t>Observer Three</t>
  </si>
  <si>
    <t>observer3@example.com</t>
  </si>
  <si>
    <t>Mentor / leader</t>
  </si>
  <si>
    <t>They bring peace and steadiness into stressful situations.</t>
  </si>
  <si>
    <t>They should keep practicing measured responses when tired.</t>
  </si>
  <si>
    <t>Their presence is settling and trustworthy.</t>
  </si>
  <si>
    <t>Mentor / Leader</t>
  </si>
  <si>
    <t>RESP-SAMPLE-OBS3</t>
  </si>
  <si>
    <t>OBS-SAMPLE-3</t>
  </si>
  <si>
    <t>Their peaceful presence is noticeable.</t>
  </si>
  <si>
    <t>Self-control under pressure is worth intentional practice.</t>
  </si>
  <si>
    <t>Self_Complete</t>
  </si>
  <si>
    <t>Peer_Response_Count</t>
  </si>
  <si>
    <t>Report_Status</t>
  </si>
  <si>
    <t>Queued_Date</t>
  </si>
  <si>
    <t>Generated_Date</t>
  </si>
  <si>
    <t>Sent_Date</t>
  </si>
  <si>
    <t>Intermediate calculation layer. For v1, formulas can live in Report_Export. Use this tab later if the workbook gets crowded.</t>
  </si>
  <si>
    <t>DPG-style spine</t>
  </si>
  <si>
    <t>Response_Intake -&gt; Report_Data -&gt; Report_Export -&gt; Report_Control -&gt; PDFMonkey_Payload</t>
  </si>
  <si>
    <t>Self_Overall</t>
  </si>
  <si>
    <t>Peer_Overall</t>
  </si>
  <si>
    <t>Overall_Gap</t>
  </si>
  <si>
    <t>Self_Love</t>
  </si>
  <si>
    <t>Peer_Love</t>
  </si>
  <si>
    <t>Love_Gap</t>
  </si>
  <si>
    <t>Self_Joy</t>
  </si>
  <si>
    <t>Peer_Joy</t>
  </si>
  <si>
    <t>Joy_Gap</t>
  </si>
  <si>
    <t>Self_Peace</t>
  </si>
  <si>
    <t>Peer_Peace</t>
  </si>
  <si>
    <t>Peace_Gap</t>
  </si>
  <si>
    <t>Self_Patience</t>
  </si>
  <si>
    <t>Peer_Patience</t>
  </si>
  <si>
    <t>Patience_Gap</t>
  </si>
  <si>
    <t>Self_Kindness</t>
  </si>
  <si>
    <t>Peer_Kindness</t>
  </si>
  <si>
    <t>Kindness_Gap</t>
  </si>
  <si>
    <t>Self_Goodness</t>
  </si>
  <si>
    <t>Peer_Goodness</t>
  </si>
  <si>
    <t>Goodness_Gap</t>
  </si>
  <si>
    <t>Self_Faithfulness</t>
  </si>
  <si>
    <t>Peer_Faithfulness</t>
  </si>
  <si>
    <t>Faithfulness_Gap</t>
  </si>
  <si>
    <t>Self_Gentleness</t>
  </si>
  <si>
    <t>Peer_Gentleness</t>
  </si>
  <si>
    <t>Gentleness_Gap</t>
  </si>
  <si>
    <t>Self_SelfControl</t>
  </si>
  <si>
    <t>Peer_SelfControl</t>
  </si>
  <si>
    <t>SelfControl_Gap</t>
  </si>
  <si>
    <t>Top_Self_Fruit</t>
  </si>
  <si>
    <t>Top_Peer_Fruit</t>
  </si>
  <si>
    <t>Growth_Focus_Fruit</t>
  </si>
  <si>
    <t>Most_Visible_List</t>
  </si>
  <si>
    <t>Growth_Focus_List</t>
  </si>
  <si>
    <t>Peer_Strength_Comments</t>
  </si>
  <si>
    <t>Peer_Growth_Comments</t>
  </si>
  <si>
    <t>Peer_Encouragement_Comments</t>
  </si>
  <si>
    <t>Setting</t>
  </si>
  <si>
    <t>Value</t>
  </si>
  <si>
    <t>Report_Export_Row</t>
  </si>
  <si>
    <t>Change this row number to preview/generate a different report.</t>
  </si>
  <si>
    <t>Pulled from Report_Export.</t>
  </si>
  <si>
    <t>participant_id</t>
  </si>
  <si>
    <t>participant_name</t>
  </si>
  <si>
    <t>self_overall</t>
  </si>
  <si>
    <t>peer_overall</t>
  </si>
  <si>
    <t>overall_gap</t>
  </si>
  <si>
    <t>self_love</t>
  </si>
  <si>
    <t>peer_love</t>
  </si>
  <si>
    <t>love_gap</t>
  </si>
  <si>
    <t>self_joy</t>
  </si>
  <si>
    <t>peer_joy</t>
  </si>
  <si>
    <t>joy_gap</t>
  </si>
  <si>
    <t>self_peace</t>
  </si>
  <si>
    <t>peer_peace</t>
  </si>
  <si>
    <t>peace_gap</t>
  </si>
  <si>
    <t>self_patience</t>
  </si>
  <si>
    <t>peer_patience</t>
  </si>
  <si>
    <t>patience_gap</t>
  </si>
  <si>
    <t>self_kindness</t>
  </si>
  <si>
    <t>peer_kindness</t>
  </si>
  <si>
    <t>kindness_gap</t>
  </si>
  <si>
    <t>self_goodness</t>
  </si>
  <si>
    <t>peer_goodness</t>
  </si>
  <si>
    <t>goodness_gap</t>
  </si>
  <si>
    <t>self_faithfulness</t>
  </si>
  <si>
    <t>peer_faithfulness</t>
  </si>
  <si>
    <t>faithfulness_gap</t>
  </si>
  <si>
    <t>self_gentleness</t>
  </si>
  <si>
    <t>peer_gentleness</t>
  </si>
  <si>
    <t>gentleness_gap</t>
  </si>
  <si>
    <t>self_selfcontrol</t>
  </si>
  <si>
    <t>peer_selfcontrol</t>
  </si>
  <si>
    <t>selfcontrol_gap</t>
  </si>
  <si>
    <t>top_self_fruit</t>
  </si>
  <si>
    <t>top_peer_fruit</t>
  </si>
  <si>
    <t>growth_focus_fruit</t>
  </si>
  <si>
    <t>most_visible_list</t>
  </si>
  <si>
    <t>growth_focus_list</t>
  </si>
  <si>
    <t>peer_strength_comments</t>
  </si>
  <si>
    <t>peer_growth_comments</t>
  </si>
  <si>
    <t>peer_encouragement_comments</t>
  </si>
  <si>
    <t>Date</t>
  </si>
  <si>
    <t>Version</t>
  </si>
  <si>
    <t>2026-06-16</t>
  </si>
  <si>
    <t>Starter workbook generated from local Fruit of the Spirit assessment project.</t>
  </si>
  <si>
    <t>Reviewer_ID</t>
  </si>
  <si>
    <t>Reviewer_Relationship</t>
  </si>
  <si>
    <t>Invite_Status</t>
  </si>
  <si>
    <t>Invite_Sent_At</t>
  </si>
  <si>
    <t>Submitted_At</t>
  </si>
  <si>
    <t>Invite_Link</t>
  </si>
  <si>
    <t>Submitted</t>
  </si>
  <si>
    <t>Sample self response</t>
  </si>
  <si>
    <t>Sample observer response</t>
  </si>
  <si>
    <t>Question_ID</t>
  </si>
  <si>
    <t>Self_Score</t>
  </si>
  <si>
    <t>Observer_Avg</t>
  </si>
  <si>
    <t>Close_Relationship_Avg</t>
  </si>
  <si>
    <t>Ministry_Team_Avg</t>
  </si>
  <si>
    <t>Mentor_Leader_Avg</t>
  </si>
  <si>
    <t>All_Observer_Avg</t>
  </si>
  <si>
    <t>Awareness_Gap</t>
  </si>
  <si>
    <t>Gap_Category</t>
  </si>
  <si>
    <t>Report_Note</t>
  </si>
  <si>
    <t>Self_Consistency_Avg</t>
  </si>
  <si>
    <t>Observer_Consistency_Avg</t>
  </si>
  <si>
    <t>Self_Pressure_Avg</t>
  </si>
  <si>
    <t>Observer_Pressure_Avg</t>
  </si>
  <si>
    <t>Consistency_Gap</t>
  </si>
  <si>
    <t>Pressure_Gap</t>
  </si>
  <si>
    <t>Pressure_Drop</t>
  </si>
  <si>
    <t>Fruit_Category</t>
  </si>
  <si>
    <t>Rank_Self</t>
  </si>
  <si>
    <t>Rank_Observer</t>
  </si>
  <si>
    <t>Report_Order</t>
  </si>
  <si>
    <t>Summary_Note</t>
  </si>
  <si>
    <t>Response_Text</t>
  </si>
  <si>
    <t>Include_In_Report</t>
  </si>
  <si>
    <t>Source_Response_ID</t>
  </si>
  <si>
    <t>What fruit do you most clearly see in this person?</t>
  </si>
  <si>
    <t>Yes</t>
  </si>
  <si>
    <t>Where do you see a growth invitation for this person?</t>
  </si>
  <si>
    <t>What encouragement should this person hear?</t>
  </si>
  <si>
    <t>Reflection_Type</t>
  </si>
  <si>
    <t>Which fruit do you most desire the Holy Spirit to grow in this season?</t>
  </si>
  <si>
    <t>Observer</t>
  </si>
  <si>
    <t>What encouragement should this person hear from this reflection?</t>
  </si>
  <si>
    <t>Response_Count</t>
  </si>
  <si>
    <t>Observer_Count</t>
  </si>
  <si>
    <t>Observer_Overall</t>
  </si>
  <si>
    <t>Most_Visible_Fruit</t>
  </si>
  <si>
    <t>Encouragement_Others_See</t>
  </si>
  <si>
    <t>Growth_Invitations</t>
  </si>
  <si>
    <t>Pressure_Vulnerabilities</t>
  </si>
  <si>
    <t>Reviewer_Mix</t>
  </si>
  <si>
    <t>Ready_For_Report</t>
  </si>
  <si>
    <t>Report_Date</t>
  </si>
  <si>
    <t>Overview_Note</t>
  </si>
  <si>
    <t>This report compares the participant self-reflection with observer reflections to identify visible fruit, encouragement others see, growth invitations, and pressure patterns.</t>
  </si>
  <si>
    <t>Love_Self</t>
  </si>
  <si>
    <t>Love_Observer</t>
  </si>
  <si>
    <t>Love_Self_Pressure</t>
  </si>
  <si>
    <t>Love_Observer_Pressure</t>
  </si>
  <si>
    <t>Love_Category</t>
  </si>
  <si>
    <t>Love_Summary</t>
  </si>
  <si>
    <t>Joy_Self</t>
  </si>
  <si>
    <t>Joy_Observer</t>
  </si>
  <si>
    <t>Joy_Self_Pressure</t>
  </si>
  <si>
    <t>Joy_Observer_Pressure</t>
  </si>
  <si>
    <t>Joy_Category</t>
  </si>
  <si>
    <t>Joy_Summary</t>
  </si>
  <si>
    <t>Peace_Self</t>
  </si>
  <si>
    <t>Peace_Observer</t>
  </si>
  <si>
    <t>Peace_Self_Pressure</t>
  </si>
  <si>
    <t>Peace_Observer_Pressure</t>
  </si>
  <si>
    <t>Peace_Category</t>
  </si>
  <si>
    <t>Peace_Summary</t>
  </si>
  <si>
    <t>Patience_Self</t>
  </si>
  <si>
    <t>Patience_Observer</t>
  </si>
  <si>
    <t>Patience_Self_Pressure</t>
  </si>
  <si>
    <t>Patience_Observer_Pressure</t>
  </si>
  <si>
    <t>Patience_Category</t>
  </si>
  <si>
    <t>Patience_Summary</t>
  </si>
  <si>
    <t>Kindness_Self</t>
  </si>
  <si>
    <t>Kindness_Observer</t>
  </si>
  <si>
    <t>Kindness_Self_Pressure</t>
  </si>
  <si>
    <t>Kindness_Observer_Pressure</t>
  </si>
  <si>
    <t>Kindness_Category</t>
  </si>
  <si>
    <t>Kindness_Summary</t>
  </si>
  <si>
    <t>Goodness_Self</t>
  </si>
  <si>
    <t>Goodness_Observer</t>
  </si>
  <si>
    <t>Goodness_Self_Pressure</t>
  </si>
  <si>
    <t>Goodness_Observer_Pressure</t>
  </si>
  <si>
    <t>Goodness_Category</t>
  </si>
  <si>
    <t>Goodness_Summary</t>
  </si>
  <si>
    <t>Faithfulness_Self</t>
  </si>
  <si>
    <t>Faithfulness_Observer</t>
  </si>
  <si>
    <t>Faithfulness_Self_Pressure</t>
  </si>
  <si>
    <t>Faithfulness_Observer_Pressure</t>
  </si>
  <si>
    <t>Faithfulness_Category</t>
  </si>
  <si>
    <t>Faithfulness_Summary</t>
  </si>
  <si>
    <t>Gentleness_Self</t>
  </si>
  <si>
    <t>Gentleness_Observer</t>
  </si>
  <si>
    <t>Gentleness_Self_Pressure</t>
  </si>
  <si>
    <t>Gentleness_Observer_Pressure</t>
  </si>
  <si>
    <t>Gentleness_Category</t>
  </si>
  <si>
    <t>Gentleness_Summary</t>
  </si>
  <si>
    <t>Self-control_Self</t>
  </si>
  <si>
    <t>Self-control_Observer</t>
  </si>
  <si>
    <t>Self-control_Self_Pressure</t>
  </si>
  <si>
    <t>Self-control_Observer_Pressure</t>
  </si>
  <si>
    <t>Self-control_Category</t>
  </si>
  <si>
    <t>Self-control_Summary</t>
  </si>
  <si>
    <t>Observer_Strength_Comments</t>
  </si>
  <si>
    <t>Observer_Growth_Comments</t>
  </si>
  <si>
    <t>Observer_Encouragement_Comments</t>
  </si>
  <si>
    <t>Self_Final_Reflection</t>
  </si>
  <si>
    <t>Pulled from Report_Export_360.</t>
  </si>
  <si>
    <t>Requires 1 self + at least 3 observers for sample.</t>
  </si>
  <si>
    <t>participant_email</t>
  </si>
  <si>
    <t>report_date</t>
  </si>
  <si>
    <t>reviewer_mix</t>
  </si>
  <si>
    <t>response_count</t>
  </si>
  <si>
    <t>observer_count</t>
  </si>
  <si>
    <t>observer_overall</t>
  </si>
  <si>
    <t>most_visible_fruit</t>
  </si>
  <si>
    <t>encouragement_others_see</t>
  </si>
  <si>
    <t>growth_invitations</t>
  </si>
  <si>
    <t>pressure_vulnerabilities</t>
  </si>
  <si>
    <t>designid_primary</t>
  </si>
  <si>
    <t>designid_secondary</t>
  </si>
  <si>
    <t>overview_note</t>
  </si>
  <si>
    <t>love_self</t>
  </si>
  <si>
    <t>love_observer</t>
  </si>
  <si>
    <t>love_self_pressure</t>
  </si>
  <si>
    <t>love_observer_pressure</t>
  </si>
  <si>
    <t>love_category</t>
  </si>
  <si>
    <t>love_summary</t>
  </si>
  <si>
    <t>joy_self</t>
  </si>
  <si>
    <t>joy_observer</t>
  </si>
  <si>
    <t>joy_self_pressure</t>
  </si>
  <si>
    <t>joy_observer_pressure</t>
  </si>
  <si>
    <t>joy_category</t>
  </si>
  <si>
    <t>joy_summary</t>
  </si>
  <si>
    <t>peace_self</t>
  </si>
  <si>
    <t>peace_observer</t>
  </si>
  <si>
    <t>peace_self_pressure</t>
  </si>
  <si>
    <t>peace_observer_pressure</t>
  </si>
  <si>
    <t>peace_category</t>
  </si>
  <si>
    <t>peace_summary</t>
  </si>
  <si>
    <t>patience_self</t>
  </si>
  <si>
    <t>patience_observer</t>
  </si>
  <si>
    <t>patience_self_pressure</t>
  </si>
  <si>
    <t>patience_observer_pressure</t>
  </si>
  <si>
    <t>patience_category</t>
  </si>
  <si>
    <t>patience_summary</t>
  </si>
  <si>
    <t>kindness_self</t>
  </si>
  <si>
    <t>kindness_observer</t>
  </si>
  <si>
    <t>kindness_self_pressure</t>
  </si>
  <si>
    <t>kindness_observer_pressure</t>
  </si>
  <si>
    <t>kindness_category</t>
  </si>
  <si>
    <t>kindness_summary</t>
  </si>
  <si>
    <t>goodness_self</t>
  </si>
  <si>
    <t>goodness_observer</t>
  </si>
  <si>
    <t>goodness_self_pressure</t>
  </si>
  <si>
    <t>goodness_observer_pressure</t>
  </si>
  <si>
    <t>goodness_category</t>
  </si>
  <si>
    <t>goodness_summary</t>
  </si>
  <si>
    <t>faithfulness_self</t>
  </si>
  <si>
    <t>faithfulness_observer</t>
  </si>
  <si>
    <t>faithfulness_self_pressure</t>
  </si>
  <si>
    <t>faithfulness_observer_pressure</t>
  </si>
  <si>
    <t>faithfulness_category</t>
  </si>
  <si>
    <t>faithfulness_summary</t>
  </si>
  <si>
    <t>gentleness_self</t>
  </si>
  <si>
    <t>gentleness_observer</t>
  </si>
  <si>
    <t>gentleness_self_pressure</t>
  </si>
  <si>
    <t>gentleness_observer_pressure</t>
  </si>
  <si>
    <t>gentleness_category</t>
  </si>
  <si>
    <t>gentleness_summary</t>
  </si>
  <si>
    <t>self_control_self</t>
  </si>
  <si>
    <t>self_control_observer</t>
  </si>
  <si>
    <t>self_control_self_pressure</t>
  </si>
  <si>
    <t>self_control_observer_pressure</t>
  </si>
  <si>
    <t>self_control_category</t>
  </si>
  <si>
    <t>self_control_summary</t>
  </si>
  <si>
    <t>observer_strength_comments</t>
  </si>
  <si>
    <t>observer_growth_comments</t>
  </si>
  <si>
    <t>observer_encouragement_comments</t>
  </si>
  <si>
    <t>self_final_reflection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</si>
</sst>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5F2E5"/>
        <bgColor rgb="FFE5F2E5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</row>
    <row r="2">
      <c r="A2" s="1" t="s">
        <v>1</v>
      </c>
      <c r="B2" s="1" t="s">
        <v>2</v>
      </c>
    </row>
    <row r="3">
      <c r="A3" s="1" t="s">
        <v>3</v>
      </c>
      <c r="B3" s="1" t="s">
        <v>4</v>
      </c>
    </row>
    <row r="4">
      <c r="A4" s="1" t="s">
        <v>5</v>
      </c>
      <c r="B4" s="1" t="s">
        <v>6</v>
      </c>
    </row>
    <row r="6">
      <c r="A6" s="1" t="s">
        <v>7</v>
      </c>
    </row>
    <row r="7">
      <c r="A7" s="1">
        <v>1.0</v>
      </c>
      <c r="B7" s="1" t="s">
        <v>8</v>
      </c>
    </row>
    <row r="8">
      <c r="A8" s="1">
        <v>2.0</v>
      </c>
      <c r="B8" s="1" t="s">
        <v>9</v>
      </c>
    </row>
    <row r="9">
      <c r="A9" s="1">
        <v>3.0</v>
      </c>
      <c r="B9" s="1" t="s">
        <v>10</v>
      </c>
    </row>
    <row r="10">
      <c r="A10" s="1">
        <v>4.0</v>
      </c>
      <c r="B10" s="1" t="s">
        <v>11</v>
      </c>
    </row>
    <row r="11">
      <c r="A11" s="1">
        <v>5.0</v>
      </c>
      <c r="B11" s="1" t="s">
        <v>12</v>
      </c>
    </row>
    <row r="13">
      <c r="A13" s="1" t="s">
        <v>13</v>
      </c>
      <c r="B13" s="1" t="s">
        <v>14</v>
      </c>
    </row>
    <row r="15">
      <c r="A15" s="1" t="s">
        <v>15</v>
      </c>
    </row>
    <row r="16">
      <c r="A16" s="1" t="s">
        <v>16</v>
      </c>
      <c r="B16" s="1" t="s">
        <v>1</v>
      </c>
      <c r="C16" s="1" t="s">
        <v>17</v>
      </c>
    </row>
    <row r="17">
      <c r="A17" s="1" t="s">
        <v>18</v>
      </c>
      <c r="B17" s="1" t="s">
        <v>19</v>
      </c>
      <c r="C17" s="1" t="s">
        <v>20</v>
      </c>
    </row>
    <row r="18">
      <c r="A18" s="1" t="s">
        <v>21</v>
      </c>
      <c r="B18" s="1" t="s">
        <v>22</v>
      </c>
      <c r="C18" s="1" t="s">
        <v>23</v>
      </c>
    </row>
    <row r="19">
      <c r="A19" s="1" t="s">
        <v>24</v>
      </c>
      <c r="B19" s="1" t="s">
        <v>25</v>
      </c>
      <c r="C19" s="1" t="s">
        <v>26</v>
      </c>
    </row>
    <row r="20">
      <c r="A20" s="1" t="s">
        <v>27</v>
      </c>
      <c r="B20" s="1" t="s">
        <v>28</v>
      </c>
      <c r="C20" s="1" t="s">
        <v>29</v>
      </c>
    </row>
    <row r="21" ht="15.75" customHeight="1">
      <c r="A21" s="1" t="s">
        <v>30</v>
      </c>
      <c r="B21" s="1" t="s">
        <v>31</v>
      </c>
      <c r="C21" s="1" t="s">
        <v>32</v>
      </c>
    </row>
    <row r="22" ht="15.75" customHeight="1">
      <c r="A22" s="1" t="s">
        <v>33</v>
      </c>
      <c r="B22" s="1" t="s">
        <v>34</v>
      </c>
      <c r="C22" s="1" t="s">
        <v>35</v>
      </c>
    </row>
    <row r="23" ht="15.75" customHeight="1">
      <c r="A23" s="1" t="s">
        <v>36</v>
      </c>
      <c r="B23" s="1" t="s">
        <v>37</v>
      </c>
      <c r="C23" s="1" t="s">
        <v>38</v>
      </c>
    </row>
    <row r="24" ht="15.75" customHeight="1">
      <c r="A24" s="1" t="s">
        <v>39</v>
      </c>
      <c r="B24" s="1" t="s">
        <v>40</v>
      </c>
      <c r="C24" s="1" t="s">
        <v>41</v>
      </c>
    </row>
    <row r="25" ht="15.75" customHeight="1">
      <c r="A25" s="1" t="s">
        <v>42</v>
      </c>
      <c r="B25" s="1" t="s">
        <v>43</v>
      </c>
      <c r="C25" s="1" t="s">
        <v>20</v>
      </c>
    </row>
    <row r="26" ht="15.75" customHeight="1">
      <c r="A26" s="1" t="s">
        <v>44</v>
      </c>
      <c r="B26" s="1" t="s">
        <v>45</v>
      </c>
      <c r="C26" s="1" t="s">
        <v>46</v>
      </c>
    </row>
    <row r="27" ht="15.75" customHeight="1">
      <c r="A27" s="1" t="s">
        <v>47</v>
      </c>
      <c r="B27" s="1" t="s">
        <v>48</v>
      </c>
      <c r="C27" s="1" t="s">
        <v>20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43"/>
    <col customWidth="1" min="2" max="2" width="124.57"/>
    <col customWidth="1" min="3" max="3" width="117.86"/>
    <col customWidth="1" min="4" max="26" width="8.71"/>
  </cols>
  <sheetData>
    <row r="1">
      <c r="A1" s="1" t="s">
        <v>49</v>
      </c>
      <c r="B1" s="1" t="s">
        <v>50</v>
      </c>
    </row>
    <row r="2">
      <c r="A2" s="1" t="s">
        <v>51</v>
      </c>
      <c r="B2" s="1" t="s">
        <v>52</v>
      </c>
    </row>
    <row r="3">
      <c r="A3" s="1" t="s">
        <v>53</v>
      </c>
      <c r="B3" s="1" t="s">
        <v>54</v>
      </c>
    </row>
    <row r="4">
      <c r="A4" s="1" t="s">
        <v>3</v>
      </c>
      <c r="B4" s="1" t="s">
        <v>4</v>
      </c>
    </row>
    <row r="5">
      <c r="A5" s="1" t="s">
        <v>5</v>
      </c>
      <c r="B5" s="1" t="s">
        <v>6</v>
      </c>
    </row>
    <row r="7">
      <c r="A7" s="1" t="s">
        <v>55</v>
      </c>
    </row>
    <row r="8">
      <c r="A8" s="1" t="s">
        <v>56</v>
      </c>
      <c r="B8" s="1" t="s">
        <v>57</v>
      </c>
      <c r="C8" s="1" t="s">
        <v>58</v>
      </c>
    </row>
    <row r="9">
      <c r="A9" s="1">
        <v>1.0</v>
      </c>
      <c r="B9" s="1" t="s">
        <v>59</v>
      </c>
      <c r="C9" s="1" t="s">
        <v>60</v>
      </c>
    </row>
    <row r="10">
      <c r="A10" s="1">
        <v>2.0</v>
      </c>
      <c r="B10" s="1" t="s">
        <v>61</v>
      </c>
      <c r="C10" s="1" t="s">
        <v>62</v>
      </c>
    </row>
    <row r="11">
      <c r="A11" s="1">
        <v>3.0</v>
      </c>
      <c r="B11" s="1" t="s">
        <v>63</v>
      </c>
      <c r="C11" s="1" t="s">
        <v>64</v>
      </c>
    </row>
    <row r="12">
      <c r="A12" s="1">
        <v>4.0</v>
      </c>
      <c r="B12" s="1" t="s">
        <v>65</v>
      </c>
      <c r="C12" s="1" t="s">
        <v>66</v>
      </c>
    </row>
    <row r="13">
      <c r="A13" s="1">
        <v>5.0</v>
      </c>
      <c r="B13" s="1" t="s">
        <v>67</v>
      </c>
      <c r="C13" s="1" t="s">
        <v>68</v>
      </c>
    </row>
    <row r="15">
      <c r="A15" s="1" t="s">
        <v>69</v>
      </c>
    </row>
    <row r="16">
      <c r="A16" s="1" t="s">
        <v>70</v>
      </c>
      <c r="B16" s="1" t="s">
        <v>71</v>
      </c>
      <c r="C16" s="1" t="s">
        <v>72</v>
      </c>
    </row>
    <row r="17">
      <c r="A17" s="1" t="s">
        <v>73</v>
      </c>
      <c r="B17" s="1" t="s">
        <v>74</v>
      </c>
      <c r="C17" s="1" t="s">
        <v>75</v>
      </c>
    </row>
    <row r="18">
      <c r="A18" s="1" t="s">
        <v>73</v>
      </c>
      <c r="B18" s="1" t="s">
        <v>76</v>
      </c>
      <c r="C18" s="1" t="s">
        <v>77</v>
      </c>
    </row>
    <row r="19">
      <c r="A19" s="1" t="s">
        <v>78</v>
      </c>
      <c r="B19" s="1" t="s">
        <v>74</v>
      </c>
      <c r="C19" s="1" t="s">
        <v>79</v>
      </c>
    </row>
    <row r="20">
      <c r="A20" s="1" t="s">
        <v>78</v>
      </c>
      <c r="B20" s="1" t="s">
        <v>76</v>
      </c>
      <c r="C20" s="1" t="s">
        <v>80</v>
      </c>
    </row>
    <row r="21" ht="15.75" customHeight="1"/>
    <row r="22" ht="15.75" customHeight="1">
      <c r="A22" s="1" t="s">
        <v>81</v>
      </c>
    </row>
    <row r="23" ht="15.75" customHeight="1">
      <c r="A23" s="1" t="s">
        <v>70</v>
      </c>
      <c r="B23" s="1" t="s">
        <v>82</v>
      </c>
      <c r="C23" s="1" t="s">
        <v>83</v>
      </c>
    </row>
    <row r="24" ht="15.75" customHeight="1">
      <c r="A24" s="1" t="s">
        <v>73</v>
      </c>
      <c r="B24" s="1" t="s">
        <v>84</v>
      </c>
      <c r="C24" s="1" t="s">
        <v>85</v>
      </c>
    </row>
    <row r="25" ht="15.75" customHeight="1">
      <c r="A25" s="1" t="s">
        <v>73</v>
      </c>
      <c r="B25" s="1" t="s">
        <v>86</v>
      </c>
      <c r="C25" s="1" t="s">
        <v>85</v>
      </c>
    </row>
    <row r="26" ht="15.75" customHeight="1">
      <c r="A26" s="1" t="s">
        <v>73</v>
      </c>
      <c r="B26" s="1" t="s">
        <v>87</v>
      </c>
      <c r="C26" s="1" t="s">
        <v>85</v>
      </c>
    </row>
    <row r="27" ht="15.75" customHeight="1">
      <c r="A27" s="1" t="s">
        <v>78</v>
      </c>
      <c r="B27" s="1" t="s">
        <v>84</v>
      </c>
      <c r="C27" s="1" t="s">
        <v>88</v>
      </c>
    </row>
    <row r="28" ht="15.75" customHeight="1">
      <c r="A28" s="1" t="s">
        <v>78</v>
      </c>
      <c r="B28" s="1" t="s">
        <v>86</v>
      </c>
      <c r="C28" s="1" t="s">
        <v>89</v>
      </c>
    </row>
    <row r="29" ht="15.75" customHeight="1">
      <c r="A29" s="1" t="s">
        <v>78</v>
      </c>
      <c r="B29" s="1" t="s">
        <v>87</v>
      </c>
      <c r="C29" s="1" t="s">
        <v>90</v>
      </c>
    </row>
    <row r="30" ht="15.75" customHeight="1"/>
    <row r="31" ht="15.75" customHeight="1">
      <c r="A31" s="1" t="s">
        <v>91</v>
      </c>
    </row>
    <row r="32" ht="15.75" customHeight="1">
      <c r="A32" s="1" t="s">
        <v>92</v>
      </c>
      <c r="B32" s="1" t="s">
        <v>93</v>
      </c>
      <c r="C32" s="1" t="s">
        <v>94</v>
      </c>
      <c r="D32" s="1" t="s">
        <v>95</v>
      </c>
    </row>
    <row r="33" ht="15.75" customHeight="1">
      <c r="A33" s="1" t="s">
        <v>96</v>
      </c>
      <c r="B33" s="1" t="s">
        <v>97</v>
      </c>
      <c r="C33" s="1" t="s">
        <v>98</v>
      </c>
      <c r="D33" s="1" t="s">
        <v>99</v>
      </c>
    </row>
    <row r="34" ht="15.75" customHeight="1">
      <c r="A34" s="1" t="s">
        <v>100</v>
      </c>
      <c r="B34" s="1" t="s">
        <v>101</v>
      </c>
      <c r="C34" s="1" t="s">
        <v>102</v>
      </c>
      <c r="D34" s="1" t="s">
        <v>103</v>
      </c>
    </row>
    <row r="35" ht="15.75" customHeight="1">
      <c r="A35" s="1" t="s">
        <v>104</v>
      </c>
      <c r="B35" s="1" t="s">
        <v>105</v>
      </c>
      <c r="C35" s="1" t="s">
        <v>106</v>
      </c>
      <c r="D35" s="1" t="s">
        <v>107</v>
      </c>
    </row>
    <row r="36" ht="15.75" customHeight="1">
      <c r="A36" s="1" t="s">
        <v>108</v>
      </c>
      <c r="B36" s="1" t="s">
        <v>109</v>
      </c>
      <c r="C36" s="1" t="s">
        <v>110</v>
      </c>
      <c r="D36" s="1" t="s">
        <v>111</v>
      </c>
    </row>
    <row r="37" ht="15.75" customHeight="1">
      <c r="A37" s="1" t="s">
        <v>112</v>
      </c>
      <c r="B37" s="1" t="s">
        <v>113</v>
      </c>
      <c r="C37" s="1" t="s">
        <v>114</v>
      </c>
      <c r="D37" s="1" t="s">
        <v>115</v>
      </c>
    </row>
    <row r="38" ht="15.75" customHeight="1">
      <c r="A38" s="1" t="s">
        <v>116</v>
      </c>
      <c r="B38" s="1" t="s">
        <v>117</v>
      </c>
      <c r="C38" s="1" t="s">
        <v>118</v>
      </c>
      <c r="D38" s="1" t="s">
        <v>119</v>
      </c>
    </row>
    <row r="39" ht="15.75" customHeight="1">
      <c r="A39" s="1" t="s">
        <v>120</v>
      </c>
      <c r="B39" s="1" t="s">
        <v>121</v>
      </c>
      <c r="C39" s="1" t="s">
        <v>122</v>
      </c>
      <c r="D39" s="1" t="s">
        <v>123</v>
      </c>
    </row>
    <row r="40" ht="15.75" customHeight="1">
      <c r="A40" s="1" t="s">
        <v>124</v>
      </c>
      <c r="B40" s="1" t="s">
        <v>125</v>
      </c>
      <c r="C40" s="1" t="s">
        <v>126</v>
      </c>
      <c r="D40" s="1" t="s">
        <v>127</v>
      </c>
    </row>
    <row r="41" ht="15.75" customHeight="1">
      <c r="A41" s="1" t="s">
        <v>128</v>
      </c>
      <c r="B41" s="1" t="s">
        <v>129</v>
      </c>
      <c r="C41" s="1" t="s">
        <v>130</v>
      </c>
      <c r="D41" s="1" t="s">
        <v>131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9.0"/>
    <col customWidth="1" min="3" max="3" width="67.0"/>
    <col customWidth="1" min="4" max="4" width="90.43"/>
    <col customWidth="1" min="5" max="5" width="104.43"/>
    <col customWidth="1" min="6" max="26" width="8.71"/>
  </cols>
  <sheetData>
    <row r="1">
      <c r="A1" s="1" t="s">
        <v>92</v>
      </c>
      <c r="B1" s="1" t="s">
        <v>132</v>
      </c>
      <c r="C1" s="1" t="s">
        <v>133</v>
      </c>
      <c r="D1" s="1" t="s">
        <v>134</v>
      </c>
      <c r="E1" s="1" t="s">
        <v>135</v>
      </c>
    </row>
    <row r="2">
      <c r="A2" s="1" t="s">
        <v>96</v>
      </c>
      <c r="B2" s="1" t="s">
        <v>136</v>
      </c>
      <c r="C2" s="1" t="s">
        <v>137</v>
      </c>
      <c r="D2" s="1" t="s">
        <v>138</v>
      </c>
      <c r="E2" s="1" t="s">
        <v>139</v>
      </c>
    </row>
    <row r="3">
      <c r="A3" s="1" t="s">
        <v>96</v>
      </c>
      <c r="B3" s="1" t="s">
        <v>140</v>
      </c>
      <c r="C3" s="1" t="s">
        <v>137</v>
      </c>
      <c r="D3" s="1" t="s">
        <v>141</v>
      </c>
      <c r="E3" s="1" t="s">
        <v>142</v>
      </c>
    </row>
    <row r="4">
      <c r="A4" s="1" t="s">
        <v>96</v>
      </c>
      <c r="B4" s="1" t="s">
        <v>143</v>
      </c>
      <c r="C4" s="1" t="s">
        <v>137</v>
      </c>
      <c r="D4" s="1" t="s">
        <v>144</v>
      </c>
      <c r="E4" s="1" t="s">
        <v>145</v>
      </c>
    </row>
    <row r="5">
      <c r="A5" s="1" t="s">
        <v>100</v>
      </c>
      <c r="B5" s="1" t="s">
        <v>146</v>
      </c>
      <c r="C5" s="1" t="s">
        <v>147</v>
      </c>
      <c r="D5" s="1" t="s">
        <v>148</v>
      </c>
      <c r="E5" s="1" t="s">
        <v>149</v>
      </c>
    </row>
    <row r="6">
      <c r="A6" s="1" t="s">
        <v>100</v>
      </c>
      <c r="B6" s="1" t="s">
        <v>150</v>
      </c>
      <c r="C6" s="1" t="s">
        <v>147</v>
      </c>
      <c r="D6" s="1" t="s">
        <v>151</v>
      </c>
      <c r="E6" s="1" t="s">
        <v>152</v>
      </c>
    </row>
    <row r="7">
      <c r="A7" s="1" t="s">
        <v>100</v>
      </c>
      <c r="B7" s="1" t="s">
        <v>153</v>
      </c>
      <c r="C7" s="1" t="s">
        <v>147</v>
      </c>
      <c r="D7" s="1" t="s">
        <v>154</v>
      </c>
      <c r="E7" s="1" t="s">
        <v>155</v>
      </c>
    </row>
    <row r="8">
      <c r="A8" s="1" t="s">
        <v>104</v>
      </c>
      <c r="B8" s="1" t="s">
        <v>156</v>
      </c>
      <c r="C8" s="1" t="s">
        <v>157</v>
      </c>
      <c r="D8" s="1" t="s">
        <v>158</v>
      </c>
      <c r="E8" s="1" t="s">
        <v>159</v>
      </c>
    </row>
    <row r="9">
      <c r="A9" s="1" t="s">
        <v>104</v>
      </c>
      <c r="B9" s="1" t="s">
        <v>160</v>
      </c>
      <c r="C9" s="1" t="s">
        <v>157</v>
      </c>
      <c r="D9" s="1" t="s">
        <v>161</v>
      </c>
      <c r="E9" s="1" t="s">
        <v>162</v>
      </c>
    </row>
    <row r="10">
      <c r="A10" s="1" t="s">
        <v>104</v>
      </c>
      <c r="B10" s="1" t="s">
        <v>163</v>
      </c>
      <c r="C10" s="1" t="s">
        <v>157</v>
      </c>
      <c r="D10" s="1" t="s">
        <v>164</v>
      </c>
      <c r="E10" s="1" t="s">
        <v>165</v>
      </c>
    </row>
    <row r="11">
      <c r="A11" s="1" t="s">
        <v>108</v>
      </c>
      <c r="B11" s="1" t="s">
        <v>166</v>
      </c>
      <c r="C11" s="1" t="s">
        <v>167</v>
      </c>
      <c r="D11" s="1" t="s">
        <v>168</v>
      </c>
      <c r="E11" s="1" t="s">
        <v>169</v>
      </c>
    </row>
    <row r="12">
      <c r="A12" s="1" t="s">
        <v>108</v>
      </c>
      <c r="B12" s="1" t="s">
        <v>170</v>
      </c>
      <c r="C12" s="1" t="s">
        <v>167</v>
      </c>
      <c r="D12" s="1" t="s">
        <v>171</v>
      </c>
      <c r="E12" s="1" t="s">
        <v>172</v>
      </c>
    </row>
    <row r="13">
      <c r="A13" s="1" t="s">
        <v>108</v>
      </c>
      <c r="B13" s="1" t="s">
        <v>173</v>
      </c>
      <c r="C13" s="1" t="s">
        <v>167</v>
      </c>
      <c r="D13" s="1" t="s">
        <v>174</v>
      </c>
      <c r="E13" s="1" t="s">
        <v>175</v>
      </c>
    </row>
    <row r="14">
      <c r="A14" s="1" t="s">
        <v>112</v>
      </c>
      <c r="B14" s="1" t="s">
        <v>176</v>
      </c>
      <c r="C14" s="1" t="s">
        <v>177</v>
      </c>
      <c r="D14" s="1" t="s">
        <v>178</v>
      </c>
      <c r="E14" s="1" t="s">
        <v>179</v>
      </c>
    </row>
    <row r="15">
      <c r="A15" s="1" t="s">
        <v>112</v>
      </c>
      <c r="B15" s="1" t="s">
        <v>180</v>
      </c>
      <c r="C15" s="1" t="s">
        <v>177</v>
      </c>
      <c r="D15" s="1" t="s">
        <v>181</v>
      </c>
      <c r="E15" s="1" t="s">
        <v>182</v>
      </c>
    </row>
    <row r="16">
      <c r="A16" s="1" t="s">
        <v>112</v>
      </c>
      <c r="B16" s="1" t="s">
        <v>183</v>
      </c>
      <c r="C16" s="1" t="s">
        <v>177</v>
      </c>
      <c r="D16" s="1" t="s">
        <v>184</v>
      </c>
      <c r="E16" s="1" t="s">
        <v>185</v>
      </c>
    </row>
    <row r="17">
      <c r="A17" s="1" t="s">
        <v>116</v>
      </c>
      <c r="B17" s="1" t="s">
        <v>186</v>
      </c>
      <c r="C17" s="1" t="s">
        <v>187</v>
      </c>
      <c r="D17" s="1" t="s">
        <v>188</v>
      </c>
      <c r="E17" s="1" t="s">
        <v>189</v>
      </c>
    </row>
    <row r="18">
      <c r="A18" s="1" t="s">
        <v>116</v>
      </c>
      <c r="B18" s="1" t="s">
        <v>190</v>
      </c>
      <c r="C18" s="1" t="s">
        <v>187</v>
      </c>
      <c r="D18" s="1" t="s">
        <v>191</v>
      </c>
      <c r="E18" s="1" t="s">
        <v>192</v>
      </c>
    </row>
    <row r="19">
      <c r="A19" s="1" t="s">
        <v>116</v>
      </c>
      <c r="B19" s="1" t="s">
        <v>193</v>
      </c>
      <c r="C19" s="1" t="s">
        <v>187</v>
      </c>
      <c r="D19" s="1" t="s">
        <v>194</v>
      </c>
      <c r="E19" s="1" t="s">
        <v>195</v>
      </c>
    </row>
    <row r="20">
      <c r="A20" s="1" t="s">
        <v>120</v>
      </c>
      <c r="B20" s="1" t="s">
        <v>196</v>
      </c>
      <c r="C20" s="1" t="s">
        <v>197</v>
      </c>
      <c r="D20" s="1" t="s">
        <v>198</v>
      </c>
      <c r="E20" s="1" t="s">
        <v>199</v>
      </c>
    </row>
    <row r="21" ht="15.75" customHeight="1">
      <c r="A21" s="1" t="s">
        <v>120</v>
      </c>
      <c r="B21" s="1" t="s">
        <v>200</v>
      </c>
      <c r="C21" s="1" t="s">
        <v>197</v>
      </c>
      <c r="D21" s="1" t="s">
        <v>201</v>
      </c>
      <c r="E21" s="1" t="s">
        <v>202</v>
      </c>
    </row>
    <row r="22" ht="15.75" customHeight="1">
      <c r="A22" s="1" t="s">
        <v>120</v>
      </c>
      <c r="B22" s="1" t="s">
        <v>203</v>
      </c>
      <c r="C22" s="1" t="s">
        <v>197</v>
      </c>
      <c r="D22" s="1" t="s">
        <v>204</v>
      </c>
      <c r="E22" s="1" t="s">
        <v>205</v>
      </c>
    </row>
    <row r="23" ht="15.75" customHeight="1">
      <c r="A23" s="1" t="s">
        <v>124</v>
      </c>
      <c r="B23" s="1" t="s">
        <v>206</v>
      </c>
      <c r="C23" s="1" t="s">
        <v>207</v>
      </c>
      <c r="D23" s="1" t="s">
        <v>208</v>
      </c>
      <c r="E23" s="1" t="s">
        <v>209</v>
      </c>
    </row>
    <row r="24" ht="15.75" customHeight="1">
      <c r="A24" s="1" t="s">
        <v>124</v>
      </c>
      <c r="B24" s="1" t="s">
        <v>210</v>
      </c>
      <c r="C24" s="1" t="s">
        <v>207</v>
      </c>
      <c r="D24" s="1" t="s">
        <v>211</v>
      </c>
      <c r="E24" s="1" t="s">
        <v>212</v>
      </c>
    </row>
    <row r="25" ht="15.75" customHeight="1">
      <c r="A25" s="1" t="s">
        <v>124</v>
      </c>
      <c r="B25" s="1" t="s">
        <v>213</v>
      </c>
      <c r="C25" s="1" t="s">
        <v>207</v>
      </c>
      <c r="D25" s="1" t="s">
        <v>214</v>
      </c>
      <c r="E25" s="1" t="s">
        <v>215</v>
      </c>
    </row>
    <row r="26" ht="15.75" customHeight="1">
      <c r="A26" s="1" t="s">
        <v>128</v>
      </c>
      <c r="B26" s="1" t="s">
        <v>216</v>
      </c>
      <c r="C26" s="1" t="s">
        <v>217</v>
      </c>
      <c r="D26" s="1" t="s">
        <v>218</v>
      </c>
      <c r="E26" s="1" t="s">
        <v>219</v>
      </c>
    </row>
    <row r="27" ht="15.75" customHeight="1">
      <c r="A27" s="1" t="s">
        <v>128</v>
      </c>
      <c r="B27" s="1" t="s">
        <v>220</v>
      </c>
      <c r="C27" s="1" t="s">
        <v>217</v>
      </c>
      <c r="D27" s="1" t="s">
        <v>221</v>
      </c>
      <c r="E27" s="1" t="s">
        <v>222</v>
      </c>
    </row>
    <row r="28" ht="15.75" customHeight="1">
      <c r="A28" s="1" t="s">
        <v>128</v>
      </c>
      <c r="B28" s="1" t="s">
        <v>223</v>
      </c>
      <c r="C28" s="1" t="s">
        <v>217</v>
      </c>
      <c r="D28" s="1" t="s">
        <v>224</v>
      </c>
      <c r="E28" s="1" t="s">
        <v>225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21.57"/>
    <col customWidth="1" min="3" max="3" width="19.86"/>
    <col customWidth="1" min="4" max="4" width="22.71"/>
    <col customWidth="1" min="5" max="5" width="8.71"/>
    <col customWidth="1" min="6" max="6" width="20.86"/>
    <col customWidth="1" min="7" max="7" width="19.29"/>
    <col customWidth="1" min="8" max="8" width="17.71"/>
    <col customWidth="1" min="9" max="9" width="33.0"/>
    <col customWidth="1" min="10" max="26" width="8.71"/>
  </cols>
  <sheetData>
    <row r="1">
      <c r="A1" s="1" t="s">
        <v>226</v>
      </c>
      <c r="B1" s="1" t="s">
        <v>227</v>
      </c>
      <c r="C1" s="1" t="s">
        <v>228</v>
      </c>
      <c r="D1" s="1" t="s">
        <v>229</v>
      </c>
      <c r="E1" s="1" t="s">
        <v>230</v>
      </c>
      <c r="F1" s="1" t="s">
        <v>231</v>
      </c>
      <c r="G1" s="1" t="s">
        <v>232</v>
      </c>
      <c r="H1" s="1" t="s">
        <v>233</v>
      </c>
      <c r="I1" s="1" t="s">
        <v>234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70" width="8.71"/>
  </cols>
  <sheetData>
    <row r="1">
      <c r="A1" s="2" t="s">
        <v>235</v>
      </c>
      <c r="B1" s="2" t="s">
        <v>226</v>
      </c>
      <c r="C1" s="2" t="s">
        <v>227</v>
      </c>
      <c r="D1" s="2" t="s">
        <v>236</v>
      </c>
      <c r="E1" s="2" t="s">
        <v>237</v>
      </c>
      <c r="F1" s="2" t="s">
        <v>238</v>
      </c>
      <c r="G1" s="2" t="s">
        <v>239</v>
      </c>
      <c r="H1" s="2" t="s">
        <v>136</v>
      </c>
      <c r="I1" s="2" t="s">
        <v>140</v>
      </c>
      <c r="J1" s="2" t="s">
        <v>143</v>
      </c>
      <c r="K1" s="2" t="s">
        <v>146</v>
      </c>
      <c r="L1" s="2" t="s">
        <v>150</v>
      </c>
      <c r="M1" s="2" t="s">
        <v>153</v>
      </c>
      <c r="N1" s="2" t="s">
        <v>156</v>
      </c>
      <c r="O1" s="2" t="s">
        <v>160</v>
      </c>
      <c r="P1" s="2" t="s">
        <v>163</v>
      </c>
      <c r="Q1" s="2" t="s">
        <v>166</v>
      </c>
      <c r="R1" s="2" t="s">
        <v>170</v>
      </c>
      <c r="S1" s="2" t="s">
        <v>173</v>
      </c>
      <c r="T1" s="2" t="s">
        <v>176</v>
      </c>
      <c r="U1" s="2" t="s">
        <v>180</v>
      </c>
      <c r="V1" s="2" t="s">
        <v>183</v>
      </c>
      <c r="W1" s="2" t="s">
        <v>186</v>
      </c>
      <c r="X1" s="2" t="s">
        <v>190</v>
      </c>
      <c r="Y1" s="2" t="s">
        <v>193</v>
      </c>
      <c r="Z1" s="2" t="s">
        <v>196</v>
      </c>
      <c r="AA1" s="2" t="s">
        <v>200</v>
      </c>
      <c r="AB1" s="2" t="s">
        <v>203</v>
      </c>
      <c r="AC1" s="2" t="s">
        <v>206</v>
      </c>
      <c r="AD1" s="2" t="s">
        <v>210</v>
      </c>
      <c r="AE1" s="2" t="s">
        <v>213</v>
      </c>
      <c r="AF1" s="2" t="s">
        <v>216</v>
      </c>
      <c r="AG1" s="2" t="s">
        <v>220</v>
      </c>
      <c r="AH1" s="2" t="s">
        <v>223</v>
      </c>
      <c r="AI1" s="2" t="s">
        <v>240</v>
      </c>
      <c r="AJ1" s="2" t="s">
        <v>241</v>
      </c>
      <c r="AK1" s="2" t="s">
        <v>242</v>
      </c>
      <c r="AL1" s="2" t="s">
        <v>243</v>
      </c>
      <c r="AM1" s="2" t="s">
        <v>244</v>
      </c>
      <c r="AN1" s="2" t="s">
        <v>245</v>
      </c>
      <c r="AO1" s="2" t="s">
        <v>84</v>
      </c>
      <c r="AP1" s="2" t="s">
        <v>86</v>
      </c>
      <c r="AQ1" s="2" t="s">
        <v>87</v>
      </c>
      <c r="AR1" s="2" t="s">
        <v>246</v>
      </c>
      <c r="AS1" s="2" t="s">
        <v>247</v>
      </c>
      <c r="AT1" s="2" t="s">
        <v>248</v>
      </c>
      <c r="AU1" s="2" t="s">
        <v>249</v>
      </c>
      <c r="AV1" s="2" t="s">
        <v>250</v>
      </c>
      <c r="AW1" s="2" t="s">
        <v>251</v>
      </c>
      <c r="AX1" s="2" t="s">
        <v>252</v>
      </c>
      <c r="AY1" s="2" t="s">
        <v>253</v>
      </c>
      <c r="AZ1" s="2" t="s">
        <v>254</v>
      </c>
      <c r="BA1" s="2" t="s">
        <v>255</v>
      </c>
      <c r="BB1" s="2" t="s">
        <v>256</v>
      </c>
      <c r="BC1" s="2" t="s">
        <v>257</v>
      </c>
      <c r="BD1" s="2" t="s">
        <v>258</v>
      </c>
      <c r="BE1" s="2" t="s">
        <v>259</v>
      </c>
      <c r="BF1" s="2" t="s">
        <v>260</v>
      </c>
      <c r="BG1" s="2" t="s">
        <v>261</v>
      </c>
      <c r="BH1" s="2" t="s">
        <v>262</v>
      </c>
      <c r="BI1" s="2" t="s">
        <v>263</v>
      </c>
      <c r="BJ1" s="2" t="s">
        <v>264</v>
      </c>
      <c r="BK1" s="2" t="s">
        <v>265</v>
      </c>
      <c r="BL1" s="2" t="s">
        <v>266</v>
      </c>
      <c r="BM1" s="2" t="s">
        <v>267</v>
      </c>
      <c r="BN1" s="2" t="s">
        <v>268</v>
      </c>
      <c r="BO1" s="2" t="s">
        <v>269</v>
      </c>
      <c r="BP1" s="2" t="s">
        <v>270</v>
      </c>
      <c r="BQ1" s="2" t="s">
        <v>271</v>
      </c>
      <c r="BR1" s="2" t="s">
        <v>272</v>
      </c>
    </row>
    <row r="2">
      <c r="A2" s="3" t="s">
        <v>273</v>
      </c>
      <c r="B2" s="3" t="s">
        <v>274</v>
      </c>
      <c r="C2" s="3" t="s">
        <v>275</v>
      </c>
      <c r="D2" s="3" t="s">
        <v>73</v>
      </c>
      <c r="E2" s="3" t="s">
        <v>275</v>
      </c>
      <c r="F2" s="3" t="s">
        <v>276</v>
      </c>
      <c r="G2" s="3" t="s">
        <v>73</v>
      </c>
      <c r="H2" s="4">
        <v>4.0</v>
      </c>
      <c r="I2" s="4">
        <v>5.0</v>
      </c>
      <c r="J2" s="4">
        <v>4.0</v>
      </c>
      <c r="K2" s="4">
        <v>3.0</v>
      </c>
      <c r="L2" s="4">
        <v>4.0</v>
      </c>
      <c r="M2" s="4">
        <v>4.0</v>
      </c>
      <c r="N2" s="4">
        <v>4.0</v>
      </c>
      <c r="O2" s="4">
        <v>4.0</v>
      </c>
      <c r="P2" s="4">
        <v>5.0</v>
      </c>
      <c r="Q2" s="4">
        <v>3.0</v>
      </c>
      <c r="R2" s="4">
        <v>3.0</v>
      </c>
      <c r="S2" s="4">
        <v>4.0</v>
      </c>
      <c r="T2" s="4">
        <v>5.0</v>
      </c>
      <c r="U2" s="4">
        <v>4.0</v>
      </c>
      <c r="V2" s="4">
        <v>5.0</v>
      </c>
      <c r="W2" s="4">
        <v>4.0</v>
      </c>
      <c r="X2" s="4">
        <v>4.0</v>
      </c>
      <c r="Y2" s="4">
        <v>4.0</v>
      </c>
      <c r="Z2" s="4">
        <v>5.0</v>
      </c>
      <c r="AA2" s="4">
        <v>4.0</v>
      </c>
      <c r="AB2" s="4">
        <v>4.0</v>
      </c>
      <c r="AC2" s="4">
        <v>3.0</v>
      </c>
      <c r="AD2" s="4">
        <v>4.0</v>
      </c>
      <c r="AE2" s="4">
        <v>3.0</v>
      </c>
      <c r="AF2" s="4">
        <v>3.0</v>
      </c>
      <c r="AG2" s="4">
        <v>4.0</v>
      </c>
      <c r="AH2" s="4">
        <v>3.0</v>
      </c>
      <c r="AI2" s="3" t="s">
        <v>112</v>
      </c>
      <c r="AJ2" s="3" t="s">
        <v>120</v>
      </c>
      <c r="AK2" s="3" t="s">
        <v>104</v>
      </c>
      <c r="AL2" s="3" t="s">
        <v>108</v>
      </c>
      <c r="AM2" s="3" t="s">
        <v>277</v>
      </c>
      <c r="AN2" s="3" t="s">
        <v>100</v>
      </c>
      <c r="AR2" s="1">
        <f t="shared" ref="AR2:AR200" si="1">IF(COUNTA(H2:J2)=0,"",AVERAGE(H2:J2))</f>
        <v>4.333333333</v>
      </c>
      <c r="AS2" s="1">
        <f t="shared" ref="AS2:AS200" si="2">IF(COUNTA(K2:M2)=0,"",AVERAGE(K2:M2))</f>
        <v>3.666666667</v>
      </c>
      <c r="AT2" s="1">
        <f t="shared" ref="AT2:AT200" si="3">IF(COUNTA(N2:P2)=0,"",AVERAGE(N2:P2))</f>
        <v>4.333333333</v>
      </c>
      <c r="AU2" s="1">
        <f t="shared" ref="AU2:AU200" si="4">IF(COUNTA(Q2:S2)=0,"",AVERAGE(Q2:S2))</f>
        <v>3.333333333</v>
      </c>
      <c r="AV2" s="1">
        <f t="shared" ref="AV2:AV200" si="5">IF(COUNTA(T2:V2)=0,"",AVERAGE(T2:V2))</f>
        <v>4.666666667</v>
      </c>
      <c r="AW2" s="1">
        <f t="shared" ref="AW2:AW200" si="6">IF(COUNTA(W2:Y2)=0,"",AVERAGE(W2:Y2))</f>
        <v>4</v>
      </c>
      <c r="AX2" s="1">
        <f t="shared" ref="AX2:AX200" si="7">IF(COUNTA(Z2:AB2)=0,"",AVERAGE(Z2:AB2))</f>
        <v>4.333333333</v>
      </c>
      <c r="AY2" s="1">
        <f t="shared" ref="AY2:AY200" si="8">IF(COUNTA(AC2:AE2)=0,"",AVERAGE(AC2:AE2))</f>
        <v>3.333333333</v>
      </c>
      <c r="AZ2" s="1">
        <f t="shared" ref="AZ2:AZ200" si="9">IF(COUNTA(AF2:AH2)=0,"",AVERAGE(AF2:AH2))</f>
        <v>3.333333333</v>
      </c>
      <c r="BA2" s="3" t="s">
        <v>73</v>
      </c>
      <c r="BB2" s="3" t="s">
        <v>278</v>
      </c>
      <c r="BC2" s="3" t="s">
        <v>279</v>
      </c>
      <c r="BD2" s="3" t="s">
        <v>280</v>
      </c>
      <c r="BE2" s="3" t="s">
        <v>281</v>
      </c>
      <c r="BF2" s="3" t="s">
        <v>282</v>
      </c>
      <c r="BG2" s="4">
        <v>4.0</v>
      </c>
      <c r="BH2" s="4">
        <v>3.0</v>
      </c>
      <c r="BI2" s="4">
        <v>4.0</v>
      </c>
      <c r="BJ2" s="4">
        <v>3.0</v>
      </c>
      <c r="BK2" s="4">
        <v>4.0</v>
      </c>
      <c r="BL2" s="4">
        <v>4.0</v>
      </c>
      <c r="BM2" s="4">
        <v>4.0</v>
      </c>
      <c r="BN2" s="4">
        <v>3.0</v>
      </c>
      <c r="BO2" s="4">
        <v>3.0</v>
      </c>
      <c r="BP2" s="3" t="s">
        <v>283</v>
      </c>
    </row>
    <row r="3">
      <c r="A3" s="3" t="s">
        <v>284</v>
      </c>
      <c r="B3" s="3" t="s">
        <v>274</v>
      </c>
      <c r="C3" s="3" t="s">
        <v>275</v>
      </c>
      <c r="D3" s="3" t="s">
        <v>78</v>
      </c>
      <c r="E3" s="3" t="s">
        <v>285</v>
      </c>
      <c r="F3" s="3" t="s">
        <v>286</v>
      </c>
      <c r="G3" s="3" t="s">
        <v>287</v>
      </c>
      <c r="H3" s="4">
        <v>5.0</v>
      </c>
      <c r="I3" s="4">
        <v>5.0</v>
      </c>
      <c r="J3" s="4">
        <v>4.0</v>
      </c>
      <c r="K3" s="4">
        <v>4.0</v>
      </c>
      <c r="L3" s="4">
        <v>4.0</v>
      </c>
      <c r="M3" s="4">
        <v>4.0</v>
      </c>
      <c r="N3" s="4">
        <v>5.0</v>
      </c>
      <c r="O3" s="4">
        <v>4.0</v>
      </c>
      <c r="P3" s="4">
        <v>5.0</v>
      </c>
      <c r="Q3" s="4">
        <v>3.0</v>
      </c>
      <c r="R3" s="4">
        <v>4.0</v>
      </c>
      <c r="S3" s="4">
        <v>3.0</v>
      </c>
      <c r="T3" s="4">
        <v>5.0</v>
      </c>
      <c r="U3" s="4">
        <v>5.0</v>
      </c>
      <c r="V3" s="4">
        <v>5.0</v>
      </c>
      <c r="W3" s="4">
        <v>4.0</v>
      </c>
      <c r="X3" s="4">
        <v>4.0</v>
      </c>
      <c r="Y3" s="4">
        <v>4.0</v>
      </c>
      <c r="Z3" s="4">
        <v>5.0</v>
      </c>
      <c r="AA3" s="4">
        <v>4.0</v>
      </c>
      <c r="AB3" s="4">
        <v>5.0</v>
      </c>
      <c r="AC3" s="4">
        <v>4.0</v>
      </c>
      <c r="AD3" s="4">
        <v>4.0</v>
      </c>
      <c r="AE3" s="4">
        <v>4.0</v>
      </c>
      <c r="AF3" s="4">
        <v>3.0</v>
      </c>
      <c r="AG3" s="4">
        <v>3.0</v>
      </c>
      <c r="AH3" s="4">
        <v>4.0</v>
      </c>
      <c r="AI3" s="3" t="s">
        <v>96</v>
      </c>
      <c r="AJ3" s="3" t="s">
        <v>112</v>
      </c>
      <c r="AK3" s="3" t="s">
        <v>104</v>
      </c>
      <c r="AL3" s="3" t="s">
        <v>277</v>
      </c>
      <c r="AM3" s="3" t="s">
        <v>108</v>
      </c>
      <c r="AN3" s="3" t="s">
        <v>124</v>
      </c>
      <c r="AO3" s="3" t="s">
        <v>288</v>
      </c>
      <c r="AP3" s="3" t="s">
        <v>289</v>
      </c>
      <c r="AQ3" s="3" t="s">
        <v>290</v>
      </c>
      <c r="AR3" s="1">
        <f t="shared" si="1"/>
        <v>4.666666667</v>
      </c>
      <c r="AS3" s="1">
        <f t="shared" si="2"/>
        <v>4</v>
      </c>
      <c r="AT3" s="1">
        <f t="shared" si="3"/>
        <v>4.666666667</v>
      </c>
      <c r="AU3" s="1">
        <f t="shared" si="4"/>
        <v>3.333333333</v>
      </c>
      <c r="AV3" s="1">
        <f t="shared" si="5"/>
        <v>5</v>
      </c>
      <c r="AW3" s="1">
        <f t="shared" si="6"/>
        <v>4</v>
      </c>
      <c r="AX3" s="1">
        <f t="shared" si="7"/>
        <v>4.666666667</v>
      </c>
      <c r="AY3" s="1">
        <f t="shared" si="8"/>
        <v>4</v>
      </c>
      <c r="AZ3" s="1">
        <f t="shared" si="9"/>
        <v>3.333333333</v>
      </c>
      <c r="BA3" s="3" t="s">
        <v>291</v>
      </c>
      <c r="BB3" s="3" t="s">
        <v>292</v>
      </c>
      <c r="BC3" s="3" t="s">
        <v>293</v>
      </c>
      <c r="BD3" s="3" t="s">
        <v>280</v>
      </c>
      <c r="BE3" s="3" t="s">
        <v>281</v>
      </c>
      <c r="BF3" s="3" t="s">
        <v>282</v>
      </c>
      <c r="BG3" s="4">
        <v>5.0</v>
      </c>
      <c r="BH3" s="4">
        <v>4.0</v>
      </c>
      <c r="BI3" s="4">
        <v>4.0</v>
      </c>
      <c r="BJ3" s="4">
        <v>3.0</v>
      </c>
      <c r="BK3" s="4">
        <v>5.0</v>
      </c>
      <c r="BL3" s="4">
        <v>4.0</v>
      </c>
      <c r="BM3" s="4">
        <v>4.0</v>
      </c>
      <c r="BN3" s="4">
        <v>3.0</v>
      </c>
      <c r="BO3" s="4">
        <v>3.0</v>
      </c>
      <c r="BQ3" s="3" t="s">
        <v>294</v>
      </c>
      <c r="BR3" s="3" t="s">
        <v>295</v>
      </c>
    </row>
    <row r="4">
      <c r="A4" s="3" t="s">
        <v>296</v>
      </c>
      <c r="B4" s="3" t="s">
        <v>274</v>
      </c>
      <c r="C4" s="3" t="s">
        <v>275</v>
      </c>
      <c r="D4" s="3" t="s">
        <v>78</v>
      </c>
      <c r="E4" s="3" t="s">
        <v>297</v>
      </c>
      <c r="F4" s="3" t="s">
        <v>298</v>
      </c>
      <c r="G4" s="3" t="s">
        <v>299</v>
      </c>
      <c r="H4" s="4">
        <v>4.0</v>
      </c>
      <c r="I4" s="4">
        <v>4.0</v>
      </c>
      <c r="J4" s="4">
        <v>5.0</v>
      </c>
      <c r="K4" s="4">
        <v>3.0</v>
      </c>
      <c r="L4" s="4">
        <v>4.0</v>
      </c>
      <c r="M4" s="4">
        <v>3.0</v>
      </c>
      <c r="N4" s="4">
        <v>4.0</v>
      </c>
      <c r="O4" s="4">
        <v>4.0</v>
      </c>
      <c r="P4" s="4">
        <v>4.0</v>
      </c>
      <c r="Q4" s="4">
        <v>3.0</v>
      </c>
      <c r="R4" s="4">
        <v>3.0</v>
      </c>
      <c r="S4" s="4">
        <v>3.0</v>
      </c>
      <c r="T4" s="4">
        <v>4.0</v>
      </c>
      <c r="U4" s="4">
        <v>5.0</v>
      </c>
      <c r="V4" s="4">
        <v>4.0</v>
      </c>
      <c r="W4" s="4">
        <v>4.0</v>
      </c>
      <c r="X4" s="4">
        <v>4.0</v>
      </c>
      <c r="Y4" s="4">
        <v>5.0</v>
      </c>
      <c r="Z4" s="4">
        <v>5.0</v>
      </c>
      <c r="AA4" s="4">
        <v>5.0</v>
      </c>
      <c r="AB4" s="4">
        <v>4.0</v>
      </c>
      <c r="AC4" s="4">
        <v>4.0</v>
      </c>
      <c r="AD4" s="4">
        <v>4.0</v>
      </c>
      <c r="AE4" s="4">
        <v>4.0</v>
      </c>
      <c r="AF4" s="4">
        <v>3.0</v>
      </c>
      <c r="AG4" s="4">
        <v>4.0</v>
      </c>
      <c r="AH4" s="4">
        <v>3.0</v>
      </c>
      <c r="AI4" s="3" t="s">
        <v>116</v>
      </c>
      <c r="AJ4" s="3" t="s">
        <v>120</v>
      </c>
      <c r="AK4" s="3" t="s">
        <v>112</v>
      </c>
      <c r="AL4" s="3" t="s">
        <v>108</v>
      </c>
      <c r="AM4" s="3" t="s">
        <v>100</v>
      </c>
      <c r="AN4" s="3" t="s">
        <v>124</v>
      </c>
      <c r="AO4" s="3" t="s">
        <v>300</v>
      </c>
      <c r="AP4" s="3" t="s">
        <v>301</v>
      </c>
      <c r="AQ4" s="3" t="s">
        <v>302</v>
      </c>
      <c r="AR4" s="1">
        <f t="shared" si="1"/>
        <v>4.333333333</v>
      </c>
      <c r="AS4" s="1">
        <f t="shared" si="2"/>
        <v>3.333333333</v>
      </c>
      <c r="AT4" s="1">
        <f t="shared" si="3"/>
        <v>4</v>
      </c>
      <c r="AU4" s="1">
        <f t="shared" si="4"/>
        <v>3</v>
      </c>
      <c r="AV4" s="1">
        <f t="shared" si="5"/>
        <v>4.333333333</v>
      </c>
      <c r="AW4" s="1">
        <f t="shared" si="6"/>
        <v>4.333333333</v>
      </c>
      <c r="AX4" s="1">
        <f t="shared" si="7"/>
        <v>4.666666667</v>
      </c>
      <c r="AY4" s="1">
        <f t="shared" si="8"/>
        <v>4</v>
      </c>
      <c r="AZ4" s="1">
        <f t="shared" si="9"/>
        <v>3.333333333</v>
      </c>
      <c r="BA4" s="3" t="s">
        <v>303</v>
      </c>
      <c r="BB4" s="3" t="s">
        <v>304</v>
      </c>
      <c r="BC4" s="3" t="s">
        <v>305</v>
      </c>
      <c r="BD4" s="3" t="s">
        <v>280</v>
      </c>
      <c r="BE4" s="3" t="s">
        <v>281</v>
      </c>
      <c r="BF4" s="3" t="s">
        <v>282</v>
      </c>
      <c r="BG4" s="4">
        <v>4.0</v>
      </c>
      <c r="BH4" s="4">
        <v>3.0</v>
      </c>
      <c r="BI4" s="4">
        <v>4.0</v>
      </c>
      <c r="BJ4" s="4">
        <v>3.0</v>
      </c>
      <c r="BK4" s="4">
        <v>4.0</v>
      </c>
      <c r="BL4" s="4">
        <v>5.0</v>
      </c>
      <c r="BM4" s="4">
        <v>5.0</v>
      </c>
      <c r="BN4" s="4">
        <v>3.0</v>
      </c>
      <c r="BO4" s="4">
        <v>3.0</v>
      </c>
      <c r="BQ4" s="3" t="s">
        <v>306</v>
      </c>
      <c r="BR4" s="3" t="s">
        <v>307</v>
      </c>
    </row>
    <row r="5">
      <c r="A5" s="3" t="s">
        <v>308</v>
      </c>
      <c r="B5" s="3" t="s">
        <v>274</v>
      </c>
      <c r="C5" s="3" t="s">
        <v>275</v>
      </c>
      <c r="D5" s="3" t="s">
        <v>78</v>
      </c>
      <c r="E5" s="3" t="s">
        <v>309</v>
      </c>
      <c r="F5" s="3" t="s">
        <v>310</v>
      </c>
      <c r="G5" s="3" t="s">
        <v>311</v>
      </c>
      <c r="H5" s="4">
        <v>4.0</v>
      </c>
      <c r="I5" s="4">
        <v>5.0</v>
      </c>
      <c r="J5" s="4">
        <v>5.0</v>
      </c>
      <c r="K5" s="4">
        <v>4.0</v>
      </c>
      <c r="L5" s="4">
        <v>4.0</v>
      </c>
      <c r="M5" s="4">
        <v>4.0</v>
      </c>
      <c r="N5" s="4">
        <v>4.0</v>
      </c>
      <c r="O5" s="4">
        <v>5.0</v>
      </c>
      <c r="P5" s="4">
        <v>5.0</v>
      </c>
      <c r="Q5" s="4">
        <v>4.0</v>
      </c>
      <c r="R5" s="4">
        <v>3.0</v>
      </c>
      <c r="S5" s="4">
        <v>4.0</v>
      </c>
      <c r="T5" s="4">
        <v>5.0</v>
      </c>
      <c r="U5" s="4">
        <v>4.0</v>
      </c>
      <c r="V5" s="4">
        <v>5.0</v>
      </c>
      <c r="W5" s="4">
        <v>4.0</v>
      </c>
      <c r="X5" s="4">
        <v>5.0</v>
      </c>
      <c r="Y5" s="4">
        <v>4.0</v>
      </c>
      <c r="Z5" s="4">
        <v>5.0</v>
      </c>
      <c r="AA5" s="4">
        <v>5.0</v>
      </c>
      <c r="AB5" s="4">
        <v>5.0</v>
      </c>
      <c r="AC5" s="4">
        <v>4.0</v>
      </c>
      <c r="AD5" s="4">
        <v>5.0</v>
      </c>
      <c r="AE5" s="4">
        <v>4.0</v>
      </c>
      <c r="AF5" s="4">
        <v>4.0</v>
      </c>
      <c r="AG5" s="4">
        <v>4.0</v>
      </c>
      <c r="AH5" s="4">
        <v>4.0</v>
      </c>
      <c r="AI5" s="3" t="s">
        <v>104</v>
      </c>
      <c r="AJ5" s="3" t="s">
        <v>96</v>
      </c>
      <c r="AK5" s="3" t="s">
        <v>120</v>
      </c>
      <c r="AL5" s="3" t="s">
        <v>277</v>
      </c>
      <c r="AM5" s="3" t="s">
        <v>108</v>
      </c>
      <c r="AN5" s="3" t="s">
        <v>100</v>
      </c>
      <c r="AO5" s="3" t="s">
        <v>312</v>
      </c>
      <c r="AP5" s="3" t="s">
        <v>313</v>
      </c>
      <c r="AQ5" s="3" t="s">
        <v>314</v>
      </c>
      <c r="AR5" s="1">
        <f t="shared" si="1"/>
        <v>4.666666667</v>
      </c>
      <c r="AS5" s="1">
        <f t="shared" si="2"/>
        <v>4</v>
      </c>
      <c r="AT5" s="1">
        <f t="shared" si="3"/>
        <v>4.666666667</v>
      </c>
      <c r="AU5" s="1">
        <f t="shared" si="4"/>
        <v>3.666666667</v>
      </c>
      <c r="AV5" s="1">
        <f t="shared" si="5"/>
        <v>4.666666667</v>
      </c>
      <c r="AW5" s="1">
        <f t="shared" si="6"/>
        <v>4.333333333</v>
      </c>
      <c r="AX5" s="1">
        <f t="shared" si="7"/>
        <v>5</v>
      </c>
      <c r="AY5" s="1">
        <f t="shared" si="8"/>
        <v>4.333333333</v>
      </c>
      <c r="AZ5" s="1">
        <f t="shared" si="9"/>
        <v>4</v>
      </c>
      <c r="BA5" s="3" t="s">
        <v>315</v>
      </c>
      <c r="BB5" s="3" t="s">
        <v>316</v>
      </c>
      <c r="BC5" s="3" t="s">
        <v>317</v>
      </c>
      <c r="BD5" s="3" t="s">
        <v>280</v>
      </c>
      <c r="BE5" s="3" t="s">
        <v>281</v>
      </c>
      <c r="BF5" s="3" t="s">
        <v>282</v>
      </c>
      <c r="BG5" s="4">
        <v>4.0</v>
      </c>
      <c r="BH5" s="4">
        <v>4.0</v>
      </c>
      <c r="BI5" s="4">
        <v>5.0</v>
      </c>
      <c r="BJ5" s="4">
        <v>3.0</v>
      </c>
      <c r="BK5" s="4">
        <v>4.0</v>
      </c>
      <c r="BL5" s="4">
        <v>4.0</v>
      </c>
      <c r="BM5" s="4">
        <v>5.0</v>
      </c>
      <c r="BN5" s="4">
        <v>4.0</v>
      </c>
      <c r="BO5" s="4">
        <v>3.0</v>
      </c>
      <c r="BQ5" s="3" t="s">
        <v>318</v>
      </c>
      <c r="BR5" s="3" t="s">
        <v>319</v>
      </c>
    </row>
    <row r="6">
      <c r="AR6" s="1" t="str">
        <f t="shared" si="1"/>
        <v/>
      </c>
      <c r="AS6" s="1" t="str">
        <f t="shared" si="2"/>
        <v/>
      </c>
      <c r="AT6" s="1" t="str">
        <f t="shared" si="3"/>
        <v/>
      </c>
      <c r="AU6" s="1" t="str">
        <f t="shared" si="4"/>
        <v/>
      </c>
      <c r="AV6" s="1" t="str">
        <f t="shared" si="5"/>
        <v/>
      </c>
      <c r="AW6" s="1" t="str">
        <f t="shared" si="6"/>
        <v/>
      </c>
      <c r="AX6" s="1" t="str">
        <f t="shared" si="7"/>
        <v/>
      </c>
      <c r="AY6" s="1" t="str">
        <f t="shared" si="8"/>
        <v/>
      </c>
      <c r="AZ6" s="1" t="str">
        <f t="shared" si="9"/>
        <v/>
      </c>
    </row>
    <row r="7">
      <c r="AR7" s="1" t="str">
        <f t="shared" si="1"/>
        <v/>
      </c>
      <c r="AS7" s="1" t="str">
        <f t="shared" si="2"/>
        <v/>
      </c>
      <c r="AT7" s="1" t="str">
        <f t="shared" si="3"/>
        <v/>
      </c>
      <c r="AU7" s="1" t="str">
        <f t="shared" si="4"/>
        <v/>
      </c>
      <c r="AV7" s="1" t="str">
        <f t="shared" si="5"/>
        <v/>
      </c>
      <c r="AW7" s="1" t="str">
        <f t="shared" si="6"/>
        <v/>
      </c>
      <c r="AX7" s="1" t="str">
        <f t="shared" si="7"/>
        <v/>
      </c>
      <c r="AY7" s="1" t="str">
        <f t="shared" si="8"/>
        <v/>
      </c>
      <c r="AZ7" s="1" t="str">
        <f t="shared" si="9"/>
        <v/>
      </c>
    </row>
    <row r="8">
      <c r="AR8" s="1" t="str">
        <f t="shared" si="1"/>
        <v/>
      </c>
      <c r="AS8" s="1" t="str">
        <f t="shared" si="2"/>
        <v/>
      </c>
      <c r="AT8" s="1" t="str">
        <f t="shared" si="3"/>
        <v/>
      </c>
      <c r="AU8" s="1" t="str">
        <f t="shared" si="4"/>
        <v/>
      </c>
      <c r="AV8" s="1" t="str">
        <f t="shared" si="5"/>
        <v/>
      </c>
      <c r="AW8" s="1" t="str">
        <f t="shared" si="6"/>
        <v/>
      </c>
      <c r="AX8" s="1" t="str">
        <f t="shared" si="7"/>
        <v/>
      </c>
      <c r="AY8" s="1" t="str">
        <f t="shared" si="8"/>
        <v/>
      </c>
      <c r="AZ8" s="1" t="str">
        <f t="shared" si="9"/>
        <v/>
      </c>
    </row>
    <row r="9">
      <c r="AR9" s="1" t="str">
        <f t="shared" si="1"/>
        <v/>
      </c>
      <c r="AS9" s="1" t="str">
        <f t="shared" si="2"/>
        <v/>
      </c>
      <c r="AT9" s="1" t="str">
        <f t="shared" si="3"/>
        <v/>
      </c>
      <c r="AU9" s="1" t="str">
        <f t="shared" si="4"/>
        <v/>
      </c>
      <c r="AV9" s="1" t="str">
        <f t="shared" si="5"/>
        <v/>
      </c>
      <c r="AW9" s="1" t="str">
        <f t="shared" si="6"/>
        <v/>
      </c>
      <c r="AX9" s="1" t="str">
        <f t="shared" si="7"/>
        <v/>
      </c>
      <c r="AY9" s="1" t="str">
        <f t="shared" si="8"/>
        <v/>
      </c>
      <c r="AZ9" s="1" t="str">
        <f t="shared" si="9"/>
        <v/>
      </c>
    </row>
    <row r="10">
      <c r="AR10" s="1" t="str">
        <f t="shared" si="1"/>
        <v/>
      </c>
      <c r="AS10" s="1" t="str">
        <f t="shared" si="2"/>
        <v/>
      </c>
      <c r="AT10" s="1" t="str">
        <f t="shared" si="3"/>
        <v/>
      </c>
      <c r="AU10" s="1" t="str">
        <f t="shared" si="4"/>
        <v/>
      </c>
      <c r="AV10" s="1" t="str">
        <f t="shared" si="5"/>
        <v/>
      </c>
      <c r="AW10" s="1" t="str">
        <f t="shared" si="6"/>
        <v/>
      </c>
      <c r="AX10" s="1" t="str">
        <f t="shared" si="7"/>
        <v/>
      </c>
      <c r="AY10" s="1" t="str">
        <f t="shared" si="8"/>
        <v/>
      </c>
      <c r="AZ10" s="1" t="str">
        <f t="shared" si="9"/>
        <v/>
      </c>
    </row>
    <row r="11">
      <c r="AR11" s="1" t="str">
        <f t="shared" si="1"/>
        <v/>
      </c>
      <c r="AS11" s="1" t="str">
        <f t="shared" si="2"/>
        <v/>
      </c>
      <c r="AT11" s="1" t="str">
        <f t="shared" si="3"/>
        <v/>
      </c>
      <c r="AU11" s="1" t="str">
        <f t="shared" si="4"/>
        <v/>
      </c>
      <c r="AV11" s="1" t="str">
        <f t="shared" si="5"/>
        <v/>
      </c>
      <c r="AW11" s="1" t="str">
        <f t="shared" si="6"/>
        <v/>
      </c>
      <c r="AX11" s="1" t="str">
        <f t="shared" si="7"/>
        <v/>
      </c>
      <c r="AY11" s="1" t="str">
        <f t="shared" si="8"/>
        <v/>
      </c>
      <c r="AZ11" s="1" t="str">
        <f t="shared" si="9"/>
        <v/>
      </c>
    </row>
    <row r="12">
      <c r="AR12" s="1" t="str">
        <f t="shared" si="1"/>
        <v/>
      </c>
      <c r="AS12" s="1" t="str">
        <f t="shared" si="2"/>
        <v/>
      </c>
      <c r="AT12" s="1" t="str">
        <f t="shared" si="3"/>
        <v/>
      </c>
      <c r="AU12" s="1" t="str">
        <f t="shared" si="4"/>
        <v/>
      </c>
      <c r="AV12" s="1" t="str">
        <f t="shared" si="5"/>
        <v/>
      </c>
      <c r="AW12" s="1" t="str">
        <f t="shared" si="6"/>
        <v/>
      </c>
      <c r="AX12" s="1" t="str">
        <f t="shared" si="7"/>
        <v/>
      </c>
      <c r="AY12" s="1" t="str">
        <f t="shared" si="8"/>
        <v/>
      </c>
      <c r="AZ12" s="1" t="str">
        <f t="shared" si="9"/>
        <v/>
      </c>
    </row>
    <row r="13">
      <c r="AR13" s="1" t="str">
        <f t="shared" si="1"/>
        <v/>
      </c>
      <c r="AS13" s="1" t="str">
        <f t="shared" si="2"/>
        <v/>
      </c>
      <c r="AT13" s="1" t="str">
        <f t="shared" si="3"/>
        <v/>
      </c>
      <c r="AU13" s="1" t="str">
        <f t="shared" si="4"/>
        <v/>
      </c>
      <c r="AV13" s="1" t="str">
        <f t="shared" si="5"/>
        <v/>
      </c>
      <c r="AW13" s="1" t="str">
        <f t="shared" si="6"/>
        <v/>
      </c>
      <c r="AX13" s="1" t="str">
        <f t="shared" si="7"/>
        <v/>
      </c>
      <c r="AY13" s="1" t="str">
        <f t="shared" si="8"/>
        <v/>
      </c>
      <c r="AZ13" s="1" t="str">
        <f t="shared" si="9"/>
        <v/>
      </c>
    </row>
    <row r="14">
      <c r="AR14" s="1" t="str">
        <f t="shared" si="1"/>
        <v/>
      </c>
      <c r="AS14" s="1" t="str">
        <f t="shared" si="2"/>
        <v/>
      </c>
      <c r="AT14" s="1" t="str">
        <f t="shared" si="3"/>
        <v/>
      </c>
      <c r="AU14" s="1" t="str">
        <f t="shared" si="4"/>
        <v/>
      </c>
      <c r="AV14" s="1" t="str">
        <f t="shared" si="5"/>
        <v/>
      </c>
      <c r="AW14" s="1" t="str">
        <f t="shared" si="6"/>
        <v/>
      </c>
      <c r="AX14" s="1" t="str">
        <f t="shared" si="7"/>
        <v/>
      </c>
      <c r="AY14" s="1" t="str">
        <f t="shared" si="8"/>
        <v/>
      </c>
      <c r="AZ14" s="1" t="str">
        <f t="shared" si="9"/>
        <v/>
      </c>
    </row>
    <row r="15">
      <c r="AR15" s="1" t="str">
        <f t="shared" si="1"/>
        <v/>
      </c>
      <c r="AS15" s="1" t="str">
        <f t="shared" si="2"/>
        <v/>
      </c>
      <c r="AT15" s="1" t="str">
        <f t="shared" si="3"/>
        <v/>
      </c>
      <c r="AU15" s="1" t="str">
        <f t="shared" si="4"/>
        <v/>
      </c>
      <c r="AV15" s="1" t="str">
        <f t="shared" si="5"/>
        <v/>
      </c>
      <c r="AW15" s="1" t="str">
        <f t="shared" si="6"/>
        <v/>
      </c>
      <c r="AX15" s="1" t="str">
        <f t="shared" si="7"/>
        <v/>
      </c>
      <c r="AY15" s="1" t="str">
        <f t="shared" si="8"/>
        <v/>
      </c>
      <c r="AZ15" s="1" t="str">
        <f t="shared" si="9"/>
        <v/>
      </c>
    </row>
    <row r="16">
      <c r="AR16" s="1" t="str">
        <f t="shared" si="1"/>
        <v/>
      </c>
      <c r="AS16" s="1" t="str">
        <f t="shared" si="2"/>
        <v/>
      </c>
      <c r="AT16" s="1" t="str">
        <f t="shared" si="3"/>
        <v/>
      </c>
      <c r="AU16" s="1" t="str">
        <f t="shared" si="4"/>
        <v/>
      </c>
      <c r="AV16" s="1" t="str">
        <f t="shared" si="5"/>
        <v/>
      </c>
      <c r="AW16" s="1" t="str">
        <f t="shared" si="6"/>
        <v/>
      </c>
      <c r="AX16" s="1" t="str">
        <f t="shared" si="7"/>
        <v/>
      </c>
      <c r="AY16" s="1" t="str">
        <f t="shared" si="8"/>
        <v/>
      </c>
      <c r="AZ16" s="1" t="str">
        <f t="shared" si="9"/>
        <v/>
      </c>
    </row>
    <row r="17">
      <c r="AR17" s="1" t="str">
        <f t="shared" si="1"/>
        <v/>
      </c>
      <c r="AS17" s="1" t="str">
        <f t="shared" si="2"/>
        <v/>
      </c>
      <c r="AT17" s="1" t="str">
        <f t="shared" si="3"/>
        <v/>
      </c>
      <c r="AU17" s="1" t="str">
        <f t="shared" si="4"/>
        <v/>
      </c>
      <c r="AV17" s="1" t="str">
        <f t="shared" si="5"/>
        <v/>
      </c>
      <c r="AW17" s="1" t="str">
        <f t="shared" si="6"/>
        <v/>
      </c>
      <c r="AX17" s="1" t="str">
        <f t="shared" si="7"/>
        <v/>
      </c>
      <c r="AY17" s="1" t="str">
        <f t="shared" si="8"/>
        <v/>
      </c>
      <c r="AZ17" s="1" t="str">
        <f t="shared" si="9"/>
        <v/>
      </c>
    </row>
    <row r="18">
      <c r="AR18" s="1" t="str">
        <f t="shared" si="1"/>
        <v/>
      </c>
      <c r="AS18" s="1" t="str">
        <f t="shared" si="2"/>
        <v/>
      </c>
      <c r="AT18" s="1" t="str">
        <f t="shared" si="3"/>
        <v/>
      </c>
      <c r="AU18" s="1" t="str">
        <f t="shared" si="4"/>
        <v/>
      </c>
      <c r="AV18" s="1" t="str">
        <f t="shared" si="5"/>
        <v/>
      </c>
      <c r="AW18" s="1" t="str">
        <f t="shared" si="6"/>
        <v/>
      </c>
      <c r="AX18" s="1" t="str">
        <f t="shared" si="7"/>
        <v/>
      </c>
      <c r="AY18" s="1" t="str">
        <f t="shared" si="8"/>
        <v/>
      </c>
      <c r="AZ18" s="1" t="str">
        <f t="shared" si="9"/>
        <v/>
      </c>
    </row>
    <row r="19">
      <c r="AR19" s="1" t="str">
        <f t="shared" si="1"/>
        <v/>
      </c>
      <c r="AS19" s="1" t="str">
        <f t="shared" si="2"/>
        <v/>
      </c>
      <c r="AT19" s="1" t="str">
        <f t="shared" si="3"/>
        <v/>
      </c>
      <c r="AU19" s="1" t="str">
        <f t="shared" si="4"/>
        <v/>
      </c>
      <c r="AV19" s="1" t="str">
        <f t="shared" si="5"/>
        <v/>
      </c>
      <c r="AW19" s="1" t="str">
        <f t="shared" si="6"/>
        <v/>
      </c>
      <c r="AX19" s="1" t="str">
        <f t="shared" si="7"/>
        <v/>
      </c>
      <c r="AY19" s="1" t="str">
        <f t="shared" si="8"/>
        <v/>
      </c>
      <c r="AZ19" s="1" t="str">
        <f t="shared" si="9"/>
        <v/>
      </c>
    </row>
    <row r="20">
      <c r="AR20" s="1" t="str">
        <f t="shared" si="1"/>
        <v/>
      </c>
      <c r="AS20" s="1" t="str">
        <f t="shared" si="2"/>
        <v/>
      </c>
      <c r="AT20" s="1" t="str">
        <f t="shared" si="3"/>
        <v/>
      </c>
      <c r="AU20" s="1" t="str">
        <f t="shared" si="4"/>
        <v/>
      </c>
      <c r="AV20" s="1" t="str">
        <f t="shared" si="5"/>
        <v/>
      </c>
      <c r="AW20" s="1" t="str">
        <f t="shared" si="6"/>
        <v/>
      </c>
      <c r="AX20" s="1" t="str">
        <f t="shared" si="7"/>
        <v/>
      </c>
      <c r="AY20" s="1" t="str">
        <f t="shared" si="8"/>
        <v/>
      </c>
      <c r="AZ20" s="1" t="str">
        <f t="shared" si="9"/>
        <v/>
      </c>
    </row>
    <row r="21" ht="15.75" customHeight="1">
      <c r="AR21" s="1" t="str">
        <f t="shared" si="1"/>
        <v/>
      </c>
      <c r="AS21" s="1" t="str">
        <f t="shared" si="2"/>
        <v/>
      </c>
      <c r="AT21" s="1" t="str">
        <f t="shared" si="3"/>
        <v/>
      </c>
      <c r="AU21" s="1" t="str">
        <f t="shared" si="4"/>
        <v/>
      </c>
      <c r="AV21" s="1" t="str">
        <f t="shared" si="5"/>
        <v/>
      </c>
      <c r="AW21" s="1" t="str">
        <f t="shared" si="6"/>
        <v/>
      </c>
      <c r="AX21" s="1" t="str">
        <f t="shared" si="7"/>
        <v/>
      </c>
      <c r="AY21" s="1" t="str">
        <f t="shared" si="8"/>
        <v/>
      </c>
      <c r="AZ21" s="1" t="str">
        <f t="shared" si="9"/>
        <v/>
      </c>
    </row>
    <row r="22" ht="15.75" customHeight="1">
      <c r="AR22" s="1" t="str">
        <f t="shared" si="1"/>
        <v/>
      </c>
      <c r="AS22" s="1" t="str">
        <f t="shared" si="2"/>
        <v/>
      </c>
      <c r="AT22" s="1" t="str">
        <f t="shared" si="3"/>
        <v/>
      </c>
      <c r="AU22" s="1" t="str">
        <f t="shared" si="4"/>
        <v/>
      </c>
      <c r="AV22" s="1" t="str">
        <f t="shared" si="5"/>
        <v/>
      </c>
      <c r="AW22" s="1" t="str">
        <f t="shared" si="6"/>
        <v/>
      </c>
      <c r="AX22" s="1" t="str">
        <f t="shared" si="7"/>
        <v/>
      </c>
      <c r="AY22" s="1" t="str">
        <f t="shared" si="8"/>
        <v/>
      </c>
      <c r="AZ22" s="1" t="str">
        <f t="shared" si="9"/>
        <v/>
      </c>
    </row>
    <row r="23" ht="15.75" customHeight="1">
      <c r="AR23" s="1" t="str">
        <f t="shared" si="1"/>
        <v/>
      </c>
      <c r="AS23" s="1" t="str">
        <f t="shared" si="2"/>
        <v/>
      </c>
      <c r="AT23" s="1" t="str">
        <f t="shared" si="3"/>
        <v/>
      </c>
      <c r="AU23" s="1" t="str">
        <f t="shared" si="4"/>
        <v/>
      </c>
      <c r="AV23" s="1" t="str">
        <f t="shared" si="5"/>
        <v/>
      </c>
      <c r="AW23" s="1" t="str">
        <f t="shared" si="6"/>
        <v/>
      </c>
      <c r="AX23" s="1" t="str">
        <f t="shared" si="7"/>
        <v/>
      </c>
      <c r="AY23" s="1" t="str">
        <f t="shared" si="8"/>
        <v/>
      </c>
      <c r="AZ23" s="1" t="str">
        <f t="shared" si="9"/>
        <v/>
      </c>
    </row>
    <row r="24" ht="15.75" customHeight="1">
      <c r="AR24" s="1" t="str">
        <f t="shared" si="1"/>
        <v/>
      </c>
      <c r="AS24" s="1" t="str">
        <f t="shared" si="2"/>
        <v/>
      </c>
      <c r="AT24" s="1" t="str">
        <f t="shared" si="3"/>
        <v/>
      </c>
      <c r="AU24" s="1" t="str">
        <f t="shared" si="4"/>
        <v/>
      </c>
      <c r="AV24" s="1" t="str">
        <f t="shared" si="5"/>
        <v/>
      </c>
      <c r="AW24" s="1" t="str">
        <f t="shared" si="6"/>
        <v/>
      </c>
      <c r="AX24" s="1" t="str">
        <f t="shared" si="7"/>
        <v/>
      </c>
      <c r="AY24" s="1" t="str">
        <f t="shared" si="8"/>
        <v/>
      </c>
      <c r="AZ24" s="1" t="str">
        <f t="shared" si="9"/>
        <v/>
      </c>
    </row>
    <row r="25" ht="15.75" customHeight="1">
      <c r="AR25" s="1" t="str">
        <f t="shared" si="1"/>
        <v/>
      </c>
      <c r="AS25" s="1" t="str">
        <f t="shared" si="2"/>
        <v/>
      </c>
      <c r="AT25" s="1" t="str">
        <f t="shared" si="3"/>
        <v/>
      </c>
      <c r="AU25" s="1" t="str">
        <f t="shared" si="4"/>
        <v/>
      </c>
      <c r="AV25" s="1" t="str">
        <f t="shared" si="5"/>
        <v/>
      </c>
      <c r="AW25" s="1" t="str">
        <f t="shared" si="6"/>
        <v/>
      </c>
      <c r="AX25" s="1" t="str">
        <f t="shared" si="7"/>
        <v/>
      </c>
      <c r="AY25" s="1" t="str">
        <f t="shared" si="8"/>
        <v/>
      </c>
      <c r="AZ25" s="1" t="str">
        <f t="shared" si="9"/>
        <v/>
      </c>
    </row>
    <row r="26" ht="15.75" customHeight="1">
      <c r="AR26" s="1" t="str">
        <f t="shared" si="1"/>
        <v/>
      </c>
      <c r="AS26" s="1" t="str">
        <f t="shared" si="2"/>
        <v/>
      </c>
      <c r="AT26" s="1" t="str">
        <f t="shared" si="3"/>
        <v/>
      </c>
      <c r="AU26" s="1" t="str">
        <f t="shared" si="4"/>
        <v/>
      </c>
      <c r="AV26" s="1" t="str">
        <f t="shared" si="5"/>
        <v/>
      </c>
      <c r="AW26" s="1" t="str">
        <f t="shared" si="6"/>
        <v/>
      </c>
      <c r="AX26" s="1" t="str">
        <f t="shared" si="7"/>
        <v/>
      </c>
      <c r="AY26" s="1" t="str">
        <f t="shared" si="8"/>
        <v/>
      </c>
      <c r="AZ26" s="1" t="str">
        <f t="shared" si="9"/>
        <v/>
      </c>
    </row>
    <row r="27" ht="15.75" customHeight="1">
      <c r="AR27" s="1" t="str">
        <f t="shared" si="1"/>
        <v/>
      </c>
      <c r="AS27" s="1" t="str">
        <f t="shared" si="2"/>
        <v/>
      </c>
      <c r="AT27" s="1" t="str">
        <f t="shared" si="3"/>
        <v/>
      </c>
      <c r="AU27" s="1" t="str">
        <f t="shared" si="4"/>
        <v/>
      </c>
      <c r="AV27" s="1" t="str">
        <f t="shared" si="5"/>
        <v/>
      </c>
      <c r="AW27" s="1" t="str">
        <f t="shared" si="6"/>
        <v/>
      </c>
      <c r="AX27" s="1" t="str">
        <f t="shared" si="7"/>
        <v/>
      </c>
      <c r="AY27" s="1" t="str">
        <f t="shared" si="8"/>
        <v/>
      </c>
      <c r="AZ27" s="1" t="str">
        <f t="shared" si="9"/>
        <v/>
      </c>
    </row>
    <row r="28" ht="15.75" customHeight="1">
      <c r="AR28" s="1" t="str">
        <f t="shared" si="1"/>
        <v/>
      </c>
      <c r="AS28" s="1" t="str">
        <f t="shared" si="2"/>
        <v/>
      </c>
      <c r="AT28" s="1" t="str">
        <f t="shared" si="3"/>
        <v/>
      </c>
      <c r="AU28" s="1" t="str">
        <f t="shared" si="4"/>
        <v/>
      </c>
      <c r="AV28" s="1" t="str">
        <f t="shared" si="5"/>
        <v/>
      </c>
      <c r="AW28" s="1" t="str">
        <f t="shared" si="6"/>
        <v/>
      </c>
      <c r="AX28" s="1" t="str">
        <f t="shared" si="7"/>
        <v/>
      </c>
      <c r="AY28" s="1" t="str">
        <f t="shared" si="8"/>
        <v/>
      </c>
      <c r="AZ28" s="1" t="str">
        <f t="shared" si="9"/>
        <v/>
      </c>
    </row>
    <row r="29" ht="15.75" customHeight="1">
      <c r="AR29" s="1" t="str">
        <f t="shared" si="1"/>
        <v/>
      </c>
      <c r="AS29" s="1" t="str">
        <f t="shared" si="2"/>
        <v/>
      </c>
      <c r="AT29" s="1" t="str">
        <f t="shared" si="3"/>
        <v/>
      </c>
      <c r="AU29" s="1" t="str">
        <f t="shared" si="4"/>
        <v/>
      </c>
      <c r="AV29" s="1" t="str">
        <f t="shared" si="5"/>
        <v/>
      </c>
      <c r="AW29" s="1" t="str">
        <f t="shared" si="6"/>
        <v/>
      </c>
      <c r="AX29" s="1" t="str">
        <f t="shared" si="7"/>
        <v/>
      </c>
      <c r="AY29" s="1" t="str">
        <f t="shared" si="8"/>
        <v/>
      </c>
      <c r="AZ29" s="1" t="str">
        <f t="shared" si="9"/>
        <v/>
      </c>
    </row>
    <row r="30" ht="15.75" customHeight="1">
      <c r="AR30" s="1" t="str">
        <f t="shared" si="1"/>
        <v/>
      </c>
      <c r="AS30" s="1" t="str">
        <f t="shared" si="2"/>
        <v/>
      </c>
      <c r="AT30" s="1" t="str">
        <f t="shared" si="3"/>
        <v/>
      </c>
      <c r="AU30" s="1" t="str">
        <f t="shared" si="4"/>
        <v/>
      </c>
      <c r="AV30" s="1" t="str">
        <f t="shared" si="5"/>
        <v/>
      </c>
      <c r="AW30" s="1" t="str">
        <f t="shared" si="6"/>
        <v/>
      </c>
      <c r="AX30" s="1" t="str">
        <f t="shared" si="7"/>
        <v/>
      </c>
      <c r="AY30" s="1" t="str">
        <f t="shared" si="8"/>
        <v/>
      </c>
      <c r="AZ30" s="1" t="str">
        <f t="shared" si="9"/>
        <v/>
      </c>
    </row>
    <row r="31" ht="15.75" customHeight="1">
      <c r="AR31" s="1" t="str">
        <f t="shared" si="1"/>
        <v/>
      </c>
      <c r="AS31" s="1" t="str">
        <f t="shared" si="2"/>
        <v/>
      </c>
      <c r="AT31" s="1" t="str">
        <f t="shared" si="3"/>
        <v/>
      </c>
      <c r="AU31" s="1" t="str">
        <f t="shared" si="4"/>
        <v/>
      </c>
      <c r="AV31" s="1" t="str">
        <f t="shared" si="5"/>
        <v/>
      </c>
      <c r="AW31" s="1" t="str">
        <f t="shared" si="6"/>
        <v/>
      </c>
      <c r="AX31" s="1" t="str">
        <f t="shared" si="7"/>
        <v/>
      </c>
      <c r="AY31" s="1" t="str">
        <f t="shared" si="8"/>
        <v/>
      </c>
      <c r="AZ31" s="1" t="str">
        <f t="shared" si="9"/>
        <v/>
      </c>
    </row>
    <row r="32" ht="15.75" customHeight="1">
      <c r="AR32" s="1" t="str">
        <f t="shared" si="1"/>
        <v/>
      </c>
      <c r="AS32" s="1" t="str">
        <f t="shared" si="2"/>
        <v/>
      </c>
      <c r="AT32" s="1" t="str">
        <f t="shared" si="3"/>
        <v/>
      </c>
      <c r="AU32" s="1" t="str">
        <f t="shared" si="4"/>
        <v/>
      </c>
      <c r="AV32" s="1" t="str">
        <f t="shared" si="5"/>
        <v/>
      </c>
      <c r="AW32" s="1" t="str">
        <f t="shared" si="6"/>
        <v/>
      </c>
      <c r="AX32" s="1" t="str">
        <f t="shared" si="7"/>
        <v/>
      </c>
      <c r="AY32" s="1" t="str">
        <f t="shared" si="8"/>
        <v/>
      </c>
      <c r="AZ32" s="1" t="str">
        <f t="shared" si="9"/>
        <v/>
      </c>
    </row>
    <row r="33" ht="15.75" customHeight="1">
      <c r="AR33" s="1" t="str">
        <f t="shared" si="1"/>
        <v/>
      </c>
      <c r="AS33" s="1" t="str">
        <f t="shared" si="2"/>
        <v/>
      </c>
      <c r="AT33" s="1" t="str">
        <f t="shared" si="3"/>
        <v/>
      </c>
      <c r="AU33" s="1" t="str">
        <f t="shared" si="4"/>
        <v/>
      </c>
      <c r="AV33" s="1" t="str">
        <f t="shared" si="5"/>
        <v/>
      </c>
      <c r="AW33" s="1" t="str">
        <f t="shared" si="6"/>
        <v/>
      </c>
      <c r="AX33" s="1" t="str">
        <f t="shared" si="7"/>
        <v/>
      </c>
      <c r="AY33" s="1" t="str">
        <f t="shared" si="8"/>
        <v/>
      </c>
      <c r="AZ33" s="1" t="str">
        <f t="shared" si="9"/>
        <v/>
      </c>
    </row>
    <row r="34" ht="15.75" customHeight="1">
      <c r="AR34" s="1" t="str">
        <f t="shared" si="1"/>
        <v/>
      </c>
      <c r="AS34" s="1" t="str">
        <f t="shared" si="2"/>
        <v/>
      </c>
      <c r="AT34" s="1" t="str">
        <f t="shared" si="3"/>
        <v/>
      </c>
      <c r="AU34" s="1" t="str">
        <f t="shared" si="4"/>
        <v/>
      </c>
      <c r="AV34" s="1" t="str">
        <f t="shared" si="5"/>
        <v/>
      </c>
      <c r="AW34" s="1" t="str">
        <f t="shared" si="6"/>
        <v/>
      </c>
      <c r="AX34" s="1" t="str">
        <f t="shared" si="7"/>
        <v/>
      </c>
      <c r="AY34" s="1" t="str">
        <f t="shared" si="8"/>
        <v/>
      </c>
      <c r="AZ34" s="1" t="str">
        <f t="shared" si="9"/>
        <v/>
      </c>
    </row>
    <row r="35" ht="15.75" customHeight="1">
      <c r="AR35" s="1" t="str">
        <f t="shared" si="1"/>
        <v/>
      </c>
      <c r="AS35" s="1" t="str">
        <f t="shared" si="2"/>
        <v/>
      </c>
      <c r="AT35" s="1" t="str">
        <f t="shared" si="3"/>
        <v/>
      </c>
      <c r="AU35" s="1" t="str">
        <f t="shared" si="4"/>
        <v/>
      </c>
      <c r="AV35" s="1" t="str">
        <f t="shared" si="5"/>
        <v/>
      </c>
      <c r="AW35" s="1" t="str">
        <f t="shared" si="6"/>
        <v/>
      </c>
      <c r="AX35" s="1" t="str">
        <f t="shared" si="7"/>
        <v/>
      </c>
      <c r="AY35" s="1" t="str">
        <f t="shared" si="8"/>
        <v/>
      </c>
      <c r="AZ35" s="1" t="str">
        <f t="shared" si="9"/>
        <v/>
      </c>
    </row>
    <row r="36" ht="15.75" customHeight="1">
      <c r="AR36" s="1" t="str">
        <f t="shared" si="1"/>
        <v/>
      </c>
      <c r="AS36" s="1" t="str">
        <f t="shared" si="2"/>
        <v/>
      </c>
      <c r="AT36" s="1" t="str">
        <f t="shared" si="3"/>
        <v/>
      </c>
      <c r="AU36" s="1" t="str">
        <f t="shared" si="4"/>
        <v/>
      </c>
      <c r="AV36" s="1" t="str">
        <f t="shared" si="5"/>
        <v/>
      </c>
      <c r="AW36" s="1" t="str">
        <f t="shared" si="6"/>
        <v/>
      </c>
      <c r="AX36" s="1" t="str">
        <f t="shared" si="7"/>
        <v/>
      </c>
      <c r="AY36" s="1" t="str">
        <f t="shared" si="8"/>
        <v/>
      </c>
      <c r="AZ36" s="1" t="str">
        <f t="shared" si="9"/>
        <v/>
      </c>
    </row>
    <row r="37" ht="15.75" customHeight="1">
      <c r="AR37" s="1" t="str">
        <f t="shared" si="1"/>
        <v/>
      </c>
      <c r="AS37" s="1" t="str">
        <f t="shared" si="2"/>
        <v/>
      </c>
      <c r="AT37" s="1" t="str">
        <f t="shared" si="3"/>
        <v/>
      </c>
      <c r="AU37" s="1" t="str">
        <f t="shared" si="4"/>
        <v/>
      </c>
      <c r="AV37" s="1" t="str">
        <f t="shared" si="5"/>
        <v/>
      </c>
      <c r="AW37" s="1" t="str">
        <f t="shared" si="6"/>
        <v/>
      </c>
      <c r="AX37" s="1" t="str">
        <f t="shared" si="7"/>
        <v/>
      </c>
      <c r="AY37" s="1" t="str">
        <f t="shared" si="8"/>
        <v/>
      </c>
      <c r="AZ37" s="1" t="str">
        <f t="shared" si="9"/>
        <v/>
      </c>
    </row>
    <row r="38" ht="15.75" customHeight="1">
      <c r="AR38" s="1" t="str">
        <f t="shared" si="1"/>
        <v/>
      </c>
      <c r="AS38" s="1" t="str">
        <f t="shared" si="2"/>
        <v/>
      </c>
      <c r="AT38" s="1" t="str">
        <f t="shared" si="3"/>
        <v/>
      </c>
      <c r="AU38" s="1" t="str">
        <f t="shared" si="4"/>
        <v/>
      </c>
      <c r="AV38" s="1" t="str">
        <f t="shared" si="5"/>
        <v/>
      </c>
      <c r="AW38" s="1" t="str">
        <f t="shared" si="6"/>
        <v/>
      </c>
      <c r="AX38" s="1" t="str">
        <f t="shared" si="7"/>
        <v/>
      </c>
      <c r="AY38" s="1" t="str">
        <f t="shared" si="8"/>
        <v/>
      </c>
      <c r="AZ38" s="1" t="str">
        <f t="shared" si="9"/>
        <v/>
      </c>
    </row>
    <row r="39" ht="15.75" customHeight="1">
      <c r="AR39" s="1" t="str">
        <f t="shared" si="1"/>
        <v/>
      </c>
      <c r="AS39" s="1" t="str">
        <f t="shared" si="2"/>
        <v/>
      </c>
      <c r="AT39" s="1" t="str">
        <f t="shared" si="3"/>
        <v/>
      </c>
      <c r="AU39" s="1" t="str">
        <f t="shared" si="4"/>
        <v/>
      </c>
      <c r="AV39" s="1" t="str">
        <f t="shared" si="5"/>
        <v/>
      </c>
      <c r="AW39" s="1" t="str">
        <f t="shared" si="6"/>
        <v/>
      </c>
      <c r="AX39" s="1" t="str">
        <f t="shared" si="7"/>
        <v/>
      </c>
      <c r="AY39" s="1" t="str">
        <f t="shared" si="8"/>
        <v/>
      </c>
      <c r="AZ39" s="1" t="str">
        <f t="shared" si="9"/>
        <v/>
      </c>
    </row>
    <row r="40" ht="15.75" customHeight="1">
      <c r="AR40" s="1" t="str">
        <f t="shared" si="1"/>
        <v/>
      </c>
      <c r="AS40" s="1" t="str">
        <f t="shared" si="2"/>
        <v/>
      </c>
      <c r="AT40" s="1" t="str">
        <f t="shared" si="3"/>
        <v/>
      </c>
      <c r="AU40" s="1" t="str">
        <f t="shared" si="4"/>
        <v/>
      </c>
      <c r="AV40" s="1" t="str">
        <f t="shared" si="5"/>
        <v/>
      </c>
      <c r="AW40" s="1" t="str">
        <f t="shared" si="6"/>
        <v/>
      </c>
      <c r="AX40" s="1" t="str">
        <f t="shared" si="7"/>
        <v/>
      </c>
      <c r="AY40" s="1" t="str">
        <f t="shared" si="8"/>
        <v/>
      </c>
      <c r="AZ40" s="1" t="str">
        <f t="shared" si="9"/>
        <v/>
      </c>
    </row>
    <row r="41" ht="15.75" customHeight="1">
      <c r="AR41" s="1" t="str">
        <f t="shared" si="1"/>
        <v/>
      </c>
      <c r="AS41" s="1" t="str">
        <f t="shared" si="2"/>
        <v/>
      </c>
      <c r="AT41" s="1" t="str">
        <f t="shared" si="3"/>
        <v/>
      </c>
      <c r="AU41" s="1" t="str">
        <f t="shared" si="4"/>
        <v/>
      </c>
      <c r="AV41" s="1" t="str">
        <f t="shared" si="5"/>
        <v/>
      </c>
      <c r="AW41" s="1" t="str">
        <f t="shared" si="6"/>
        <v/>
      </c>
      <c r="AX41" s="1" t="str">
        <f t="shared" si="7"/>
        <v/>
      </c>
      <c r="AY41" s="1" t="str">
        <f t="shared" si="8"/>
        <v/>
      </c>
      <c r="AZ41" s="1" t="str">
        <f t="shared" si="9"/>
        <v/>
      </c>
    </row>
    <row r="42" ht="15.75" customHeight="1">
      <c r="AR42" s="1" t="str">
        <f t="shared" si="1"/>
        <v/>
      </c>
      <c r="AS42" s="1" t="str">
        <f t="shared" si="2"/>
        <v/>
      </c>
      <c r="AT42" s="1" t="str">
        <f t="shared" si="3"/>
        <v/>
      </c>
      <c r="AU42" s="1" t="str">
        <f t="shared" si="4"/>
        <v/>
      </c>
      <c r="AV42" s="1" t="str">
        <f t="shared" si="5"/>
        <v/>
      </c>
      <c r="AW42" s="1" t="str">
        <f t="shared" si="6"/>
        <v/>
      </c>
      <c r="AX42" s="1" t="str">
        <f t="shared" si="7"/>
        <v/>
      </c>
      <c r="AY42" s="1" t="str">
        <f t="shared" si="8"/>
        <v/>
      </c>
      <c r="AZ42" s="1" t="str">
        <f t="shared" si="9"/>
        <v/>
      </c>
    </row>
    <row r="43" ht="15.75" customHeight="1">
      <c r="AR43" s="1" t="str">
        <f t="shared" si="1"/>
        <v/>
      </c>
      <c r="AS43" s="1" t="str">
        <f t="shared" si="2"/>
        <v/>
      </c>
      <c r="AT43" s="1" t="str">
        <f t="shared" si="3"/>
        <v/>
      </c>
      <c r="AU43" s="1" t="str">
        <f t="shared" si="4"/>
        <v/>
      </c>
      <c r="AV43" s="1" t="str">
        <f t="shared" si="5"/>
        <v/>
      </c>
      <c r="AW43" s="1" t="str">
        <f t="shared" si="6"/>
        <v/>
      </c>
      <c r="AX43" s="1" t="str">
        <f t="shared" si="7"/>
        <v/>
      </c>
      <c r="AY43" s="1" t="str">
        <f t="shared" si="8"/>
        <v/>
      </c>
      <c r="AZ43" s="1" t="str">
        <f t="shared" si="9"/>
        <v/>
      </c>
    </row>
    <row r="44" ht="15.75" customHeight="1">
      <c r="AR44" s="1" t="str">
        <f t="shared" si="1"/>
        <v/>
      </c>
      <c r="AS44" s="1" t="str">
        <f t="shared" si="2"/>
        <v/>
      </c>
      <c r="AT44" s="1" t="str">
        <f t="shared" si="3"/>
        <v/>
      </c>
      <c r="AU44" s="1" t="str">
        <f t="shared" si="4"/>
        <v/>
      </c>
      <c r="AV44" s="1" t="str">
        <f t="shared" si="5"/>
        <v/>
      </c>
      <c r="AW44" s="1" t="str">
        <f t="shared" si="6"/>
        <v/>
      </c>
      <c r="AX44" s="1" t="str">
        <f t="shared" si="7"/>
        <v/>
      </c>
      <c r="AY44" s="1" t="str">
        <f t="shared" si="8"/>
        <v/>
      </c>
      <c r="AZ44" s="1" t="str">
        <f t="shared" si="9"/>
        <v/>
      </c>
    </row>
    <row r="45" ht="15.75" customHeight="1">
      <c r="AR45" s="1" t="str">
        <f t="shared" si="1"/>
        <v/>
      </c>
      <c r="AS45" s="1" t="str">
        <f t="shared" si="2"/>
        <v/>
      </c>
      <c r="AT45" s="1" t="str">
        <f t="shared" si="3"/>
        <v/>
      </c>
      <c r="AU45" s="1" t="str">
        <f t="shared" si="4"/>
        <v/>
      </c>
      <c r="AV45" s="1" t="str">
        <f t="shared" si="5"/>
        <v/>
      </c>
      <c r="AW45" s="1" t="str">
        <f t="shared" si="6"/>
        <v/>
      </c>
      <c r="AX45" s="1" t="str">
        <f t="shared" si="7"/>
        <v/>
      </c>
      <c r="AY45" s="1" t="str">
        <f t="shared" si="8"/>
        <v/>
      </c>
      <c r="AZ45" s="1" t="str">
        <f t="shared" si="9"/>
        <v/>
      </c>
    </row>
    <row r="46" ht="15.75" customHeight="1">
      <c r="AR46" s="1" t="str">
        <f t="shared" si="1"/>
        <v/>
      </c>
      <c r="AS46" s="1" t="str">
        <f t="shared" si="2"/>
        <v/>
      </c>
      <c r="AT46" s="1" t="str">
        <f t="shared" si="3"/>
        <v/>
      </c>
      <c r="AU46" s="1" t="str">
        <f t="shared" si="4"/>
        <v/>
      </c>
      <c r="AV46" s="1" t="str">
        <f t="shared" si="5"/>
        <v/>
      </c>
      <c r="AW46" s="1" t="str">
        <f t="shared" si="6"/>
        <v/>
      </c>
      <c r="AX46" s="1" t="str">
        <f t="shared" si="7"/>
        <v/>
      </c>
      <c r="AY46" s="1" t="str">
        <f t="shared" si="8"/>
        <v/>
      </c>
      <c r="AZ46" s="1" t="str">
        <f t="shared" si="9"/>
        <v/>
      </c>
    </row>
    <row r="47" ht="15.75" customHeight="1">
      <c r="AR47" s="1" t="str">
        <f t="shared" si="1"/>
        <v/>
      </c>
      <c r="AS47" s="1" t="str">
        <f t="shared" si="2"/>
        <v/>
      </c>
      <c r="AT47" s="1" t="str">
        <f t="shared" si="3"/>
        <v/>
      </c>
      <c r="AU47" s="1" t="str">
        <f t="shared" si="4"/>
        <v/>
      </c>
      <c r="AV47" s="1" t="str">
        <f t="shared" si="5"/>
        <v/>
      </c>
      <c r="AW47" s="1" t="str">
        <f t="shared" si="6"/>
        <v/>
      </c>
      <c r="AX47" s="1" t="str">
        <f t="shared" si="7"/>
        <v/>
      </c>
      <c r="AY47" s="1" t="str">
        <f t="shared" si="8"/>
        <v/>
      </c>
      <c r="AZ47" s="1" t="str">
        <f t="shared" si="9"/>
        <v/>
      </c>
    </row>
    <row r="48" ht="15.75" customHeight="1">
      <c r="AR48" s="1" t="str">
        <f t="shared" si="1"/>
        <v/>
      </c>
      <c r="AS48" s="1" t="str">
        <f t="shared" si="2"/>
        <v/>
      </c>
      <c r="AT48" s="1" t="str">
        <f t="shared" si="3"/>
        <v/>
      </c>
      <c r="AU48" s="1" t="str">
        <f t="shared" si="4"/>
        <v/>
      </c>
      <c r="AV48" s="1" t="str">
        <f t="shared" si="5"/>
        <v/>
      </c>
      <c r="AW48" s="1" t="str">
        <f t="shared" si="6"/>
        <v/>
      </c>
      <c r="AX48" s="1" t="str">
        <f t="shared" si="7"/>
        <v/>
      </c>
      <c r="AY48" s="1" t="str">
        <f t="shared" si="8"/>
        <v/>
      </c>
      <c r="AZ48" s="1" t="str">
        <f t="shared" si="9"/>
        <v/>
      </c>
    </row>
    <row r="49" ht="15.75" customHeight="1">
      <c r="AR49" s="1" t="str">
        <f t="shared" si="1"/>
        <v/>
      </c>
      <c r="AS49" s="1" t="str">
        <f t="shared" si="2"/>
        <v/>
      </c>
      <c r="AT49" s="1" t="str">
        <f t="shared" si="3"/>
        <v/>
      </c>
      <c r="AU49" s="1" t="str">
        <f t="shared" si="4"/>
        <v/>
      </c>
      <c r="AV49" s="1" t="str">
        <f t="shared" si="5"/>
        <v/>
      </c>
      <c r="AW49" s="1" t="str">
        <f t="shared" si="6"/>
        <v/>
      </c>
      <c r="AX49" s="1" t="str">
        <f t="shared" si="7"/>
        <v/>
      </c>
      <c r="AY49" s="1" t="str">
        <f t="shared" si="8"/>
        <v/>
      </c>
      <c r="AZ49" s="1" t="str">
        <f t="shared" si="9"/>
        <v/>
      </c>
    </row>
    <row r="50" ht="15.75" customHeight="1">
      <c r="AR50" s="1" t="str">
        <f t="shared" si="1"/>
        <v/>
      </c>
      <c r="AS50" s="1" t="str">
        <f t="shared" si="2"/>
        <v/>
      </c>
      <c r="AT50" s="1" t="str">
        <f t="shared" si="3"/>
        <v/>
      </c>
      <c r="AU50" s="1" t="str">
        <f t="shared" si="4"/>
        <v/>
      </c>
      <c r="AV50" s="1" t="str">
        <f t="shared" si="5"/>
        <v/>
      </c>
      <c r="AW50" s="1" t="str">
        <f t="shared" si="6"/>
        <v/>
      </c>
      <c r="AX50" s="1" t="str">
        <f t="shared" si="7"/>
        <v/>
      </c>
      <c r="AY50" s="1" t="str">
        <f t="shared" si="8"/>
        <v/>
      </c>
      <c r="AZ50" s="1" t="str">
        <f t="shared" si="9"/>
        <v/>
      </c>
    </row>
    <row r="51" ht="15.75" customHeight="1">
      <c r="AR51" s="1" t="str">
        <f t="shared" si="1"/>
        <v/>
      </c>
      <c r="AS51" s="1" t="str">
        <f t="shared" si="2"/>
        <v/>
      </c>
      <c r="AT51" s="1" t="str">
        <f t="shared" si="3"/>
        <v/>
      </c>
      <c r="AU51" s="1" t="str">
        <f t="shared" si="4"/>
        <v/>
      </c>
      <c r="AV51" s="1" t="str">
        <f t="shared" si="5"/>
        <v/>
      </c>
      <c r="AW51" s="1" t="str">
        <f t="shared" si="6"/>
        <v/>
      </c>
      <c r="AX51" s="1" t="str">
        <f t="shared" si="7"/>
        <v/>
      </c>
      <c r="AY51" s="1" t="str">
        <f t="shared" si="8"/>
        <v/>
      </c>
      <c r="AZ51" s="1" t="str">
        <f t="shared" si="9"/>
        <v/>
      </c>
    </row>
    <row r="52" ht="15.75" customHeight="1">
      <c r="AR52" s="1" t="str">
        <f t="shared" si="1"/>
        <v/>
      </c>
      <c r="AS52" s="1" t="str">
        <f t="shared" si="2"/>
        <v/>
      </c>
      <c r="AT52" s="1" t="str">
        <f t="shared" si="3"/>
        <v/>
      </c>
      <c r="AU52" s="1" t="str">
        <f t="shared" si="4"/>
        <v/>
      </c>
      <c r="AV52" s="1" t="str">
        <f t="shared" si="5"/>
        <v/>
      </c>
      <c r="AW52" s="1" t="str">
        <f t="shared" si="6"/>
        <v/>
      </c>
      <c r="AX52" s="1" t="str">
        <f t="shared" si="7"/>
        <v/>
      </c>
      <c r="AY52" s="1" t="str">
        <f t="shared" si="8"/>
        <v/>
      </c>
      <c r="AZ52" s="1" t="str">
        <f t="shared" si="9"/>
        <v/>
      </c>
    </row>
    <row r="53" ht="15.75" customHeight="1">
      <c r="AR53" s="1" t="str">
        <f t="shared" si="1"/>
        <v/>
      </c>
      <c r="AS53" s="1" t="str">
        <f t="shared" si="2"/>
        <v/>
      </c>
      <c r="AT53" s="1" t="str">
        <f t="shared" si="3"/>
        <v/>
      </c>
      <c r="AU53" s="1" t="str">
        <f t="shared" si="4"/>
        <v/>
      </c>
      <c r="AV53" s="1" t="str">
        <f t="shared" si="5"/>
        <v/>
      </c>
      <c r="AW53" s="1" t="str">
        <f t="shared" si="6"/>
        <v/>
      </c>
      <c r="AX53" s="1" t="str">
        <f t="shared" si="7"/>
        <v/>
      </c>
      <c r="AY53" s="1" t="str">
        <f t="shared" si="8"/>
        <v/>
      </c>
      <c r="AZ53" s="1" t="str">
        <f t="shared" si="9"/>
        <v/>
      </c>
    </row>
    <row r="54" ht="15.75" customHeight="1">
      <c r="AR54" s="1" t="str">
        <f t="shared" si="1"/>
        <v/>
      </c>
      <c r="AS54" s="1" t="str">
        <f t="shared" si="2"/>
        <v/>
      </c>
      <c r="AT54" s="1" t="str">
        <f t="shared" si="3"/>
        <v/>
      </c>
      <c r="AU54" s="1" t="str">
        <f t="shared" si="4"/>
        <v/>
      </c>
      <c r="AV54" s="1" t="str">
        <f t="shared" si="5"/>
        <v/>
      </c>
      <c r="AW54" s="1" t="str">
        <f t="shared" si="6"/>
        <v/>
      </c>
      <c r="AX54" s="1" t="str">
        <f t="shared" si="7"/>
        <v/>
      </c>
      <c r="AY54" s="1" t="str">
        <f t="shared" si="8"/>
        <v/>
      </c>
      <c r="AZ54" s="1" t="str">
        <f t="shared" si="9"/>
        <v/>
      </c>
    </row>
    <row r="55" ht="15.75" customHeight="1">
      <c r="AR55" s="1" t="str">
        <f t="shared" si="1"/>
        <v/>
      </c>
      <c r="AS55" s="1" t="str">
        <f t="shared" si="2"/>
        <v/>
      </c>
      <c r="AT55" s="1" t="str">
        <f t="shared" si="3"/>
        <v/>
      </c>
      <c r="AU55" s="1" t="str">
        <f t="shared" si="4"/>
        <v/>
      </c>
      <c r="AV55" s="1" t="str">
        <f t="shared" si="5"/>
        <v/>
      </c>
      <c r="AW55" s="1" t="str">
        <f t="shared" si="6"/>
        <v/>
      </c>
      <c r="AX55" s="1" t="str">
        <f t="shared" si="7"/>
        <v/>
      </c>
      <c r="AY55" s="1" t="str">
        <f t="shared" si="8"/>
        <v/>
      </c>
      <c r="AZ55" s="1" t="str">
        <f t="shared" si="9"/>
        <v/>
      </c>
    </row>
    <row r="56" ht="15.75" customHeight="1">
      <c r="AR56" s="1" t="str">
        <f t="shared" si="1"/>
        <v/>
      </c>
      <c r="AS56" s="1" t="str">
        <f t="shared" si="2"/>
        <v/>
      </c>
      <c r="AT56" s="1" t="str">
        <f t="shared" si="3"/>
        <v/>
      </c>
      <c r="AU56" s="1" t="str">
        <f t="shared" si="4"/>
        <v/>
      </c>
      <c r="AV56" s="1" t="str">
        <f t="shared" si="5"/>
        <v/>
      </c>
      <c r="AW56" s="1" t="str">
        <f t="shared" si="6"/>
        <v/>
      </c>
      <c r="AX56" s="1" t="str">
        <f t="shared" si="7"/>
        <v/>
      </c>
      <c r="AY56" s="1" t="str">
        <f t="shared" si="8"/>
        <v/>
      </c>
      <c r="AZ56" s="1" t="str">
        <f t="shared" si="9"/>
        <v/>
      </c>
    </row>
    <row r="57" ht="15.75" customHeight="1">
      <c r="AR57" s="1" t="str">
        <f t="shared" si="1"/>
        <v/>
      </c>
      <c r="AS57" s="1" t="str">
        <f t="shared" si="2"/>
        <v/>
      </c>
      <c r="AT57" s="1" t="str">
        <f t="shared" si="3"/>
        <v/>
      </c>
      <c r="AU57" s="1" t="str">
        <f t="shared" si="4"/>
        <v/>
      </c>
      <c r="AV57" s="1" t="str">
        <f t="shared" si="5"/>
        <v/>
      </c>
      <c r="AW57" s="1" t="str">
        <f t="shared" si="6"/>
        <v/>
      </c>
      <c r="AX57" s="1" t="str">
        <f t="shared" si="7"/>
        <v/>
      </c>
      <c r="AY57" s="1" t="str">
        <f t="shared" si="8"/>
        <v/>
      </c>
      <c r="AZ57" s="1" t="str">
        <f t="shared" si="9"/>
        <v/>
      </c>
    </row>
    <row r="58" ht="15.75" customHeight="1">
      <c r="AR58" s="1" t="str">
        <f t="shared" si="1"/>
        <v/>
      </c>
      <c r="AS58" s="1" t="str">
        <f t="shared" si="2"/>
        <v/>
      </c>
      <c r="AT58" s="1" t="str">
        <f t="shared" si="3"/>
        <v/>
      </c>
      <c r="AU58" s="1" t="str">
        <f t="shared" si="4"/>
        <v/>
      </c>
      <c r="AV58" s="1" t="str">
        <f t="shared" si="5"/>
        <v/>
      </c>
      <c r="AW58" s="1" t="str">
        <f t="shared" si="6"/>
        <v/>
      </c>
      <c r="AX58" s="1" t="str">
        <f t="shared" si="7"/>
        <v/>
      </c>
      <c r="AY58" s="1" t="str">
        <f t="shared" si="8"/>
        <v/>
      </c>
      <c r="AZ58" s="1" t="str">
        <f t="shared" si="9"/>
        <v/>
      </c>
    </row>
    <row r="59" ht="15.75" customHeight="1">
      <c r="AR59" s="1" t="str">
        <f t="shared" si="1"/>
        <v/>
      </c>
      <c r="AS59" s="1" t="str">
        <f t="shared" si="2"/>
        <v/>
      </c>
      <c r="AT59" s="1" t="str">
        <f t="shared" si="3"/>
        <v/>
      </c>
      <c r="AU59" s="1" t="str">
        <f t="shared" si="4"/>
        <v/>
      </c>
      <c r="AV59" s="1" t="str">
        <f t="shared" si="5"/>
        <v/>
      </c>
      <c r="AW59" s="1" t="str">
        <f t="shared" si="6"/>
        <v/>
      </c>
      <c r="AX59" s="1" t="str">
        <f t="shared" si="7"/>
        <v/>
      </c>
      <c r="AY59" s="1" t="str">
        <f t="shared" si="8"/>
        <v/>
      </c>
      <c r="AZ59" s="1" t="str">
        <f t="shared" si="9"/>
        <v/>
      </c>
    </row>
    <row r="60" ht="15.75" customHeight="1">
      <c r="AR60" s="1" t="str">
        <f t="shared" si="1"/>
        <v/>
      </c>
      <c r="AS60" s="1" t="str">
        <f t="shared" si="2"/>
        <v/>
      </c>
      <c r="AT60" s="1" t="str">
        <f t="shared" si="3"/>
        <v/>
      </c>
      <c r="AU60" s="1" t="str">
        <f t="shared" si="4"/>
        <v/>
      </c>
      <c r="AV60" s="1" t="str">
        <f t="shared" si="5"/>
        <v/>
      </c>
      <c r="AW60" s="1" t="str">
        <f t="shared" si="6"/>
        <v/>
      </c>
      <c r="AX60" s="1" t="str">
        <f t="shared" si="7"/>
        <v/>
      </c>
      <c r="AY60" s="1" t="str">
        <f t="shared" si="8"/>
        <v/>
      </c>
      <c r="AZ60" s="1" t="str">
        <f t="shared" si="9"/>
        <v/>
      </c>
    </row>
    <row r="61" ht="15.75" customHeight="1">
      <c r="AR61" s="1" t="str">
        <f t="shared" si="1"/>
        <v/>
      </c>
      <c r="AS61" s="1" t="str">
        <f t="shared" si="2"/>
        <v/>
      </c>
      <c r="AT61" s="1" t="str">
        <f t="shared" si="3"/>
        <v/>
      </c>
      <c r="AU61" s="1" t="str">
        <f t="shared" si="4"/>
        <v/>
      </c>
      <c r="AV61" s="1" t="str">
        <f t="shared" si="5"/>
        <v/>
      </c>
      <c r="AW61" s="1" t="str">
        <f t="shared" si="6"/>
        <v/>
      </c>
      <c r="AX61" s="1" t="str">
        <f t="shared" si="7"/>
        <v/>
      </c>
      <c r="AY61" s="1" t="str">
        <f t="shared" si="8"/>
        <v/>
      </c>
      <c r="AZ61" s="1" t="str">
        <f t="shared" si="9"/>
        <v/>
      </c>
    </row>
    <row r="62" ht="15.75" customHeight="1">
      <c r="AR62" s="1" t="str">
        <f t="shared" si="1"/>
        <v/>
      </c>
      <c r="AS62" s="1" t="str">
        <f t="shared" si="2"/>
        <v/>
      </c>
      <c r="AT62" s="1" t="str">
        <f t="shared" si="3"/>
        <v/>
      </c>
      <c r="AU62" s="1" t="str">
        <f t="shared" si="4"/>
        <v/>
      </c>
      <c r="AV62" s="1" t="str">
        <f t="shared" si="5"/>
        <v/>
      </c>
      <c r="AW62" s="1" t="str">
        <f t="shared" si="6"/>
        <v/>
      </c>
      <c r="AX62" s="1" t="str">
        <f t="shared" si="7"/>
        <v/>
      </c>
      <c r="AY62" s="1" t="str">
        <f t="shared" si="8"/>
        <v/>
      </c>
      <c r="AZ62" s="1" t="str">
        <f t="shared" si="9"/>
        <v/>
      </c>
    </row>
    <row r="63" ht="15.75" customHeight="1">
      <c r="AR63" s="1" t="str">
        <f t="shared" si="1"/>
        <v/>
      </c>
      <c r="AS63" s="1" t="str">
        <f t="shared" si="2"/>
        <v/>
      </c>
      <c r="AT63" s="1" t="str">
        <f t="shared" si="3"/>
        <v/>
      </c>
      <c r="AU63" s="1" t="str">
        <f t="shared" si="4"/>
        <v/>
      </c>
      <c r="AV63" s="1" t="str">
        <f t="shared" si="5"/>
        <v/>
      </c>
      <c r="AW63" s="1" t="str">
        <f t="shared" si="6"/>
        <v/>
      </c>
      <c r="AX63" s="1" t="str">
        <f t="shared" si="7"/>
        <v/>
      </c>
      <c r="AY63" s="1" t="str">
        <f t="shared" si="8"/>
        <v/>
      </c>
      <c r="AZ63" s="1" t="str">
        <f t="shared" si="9"/>
        <v/>
      </c>
    </row>
    <row r="64" ht="15.75" customHeight="1">
      <c r="AR64" s="1" t="str">
        <f t="shared" si="1"/>
        <v/>
      </c>
      <c r="AS64" s="1" t="str">
        <f t="shared" si="2"/>
        <v/>
      </c>
      <c r="AT64" s="1" t="str">
        <f t="shared" si="3"/>
        <v/>
      </c>
      <c r="AU64" s="1" t="str">
        <f t="shared" si="4"/>
        <v/>
      </c>
      <c r="AV64" s="1" t="str">
        <f t="shared" si="5"/>
        <v/>
      </c>
      <c r="AW64" s="1" t="str">
        <f t="shared" si="6"/>
        <v/>
      </c>
      <c r="AX64" s="1" t="str">
        <f t="shared" si="7"/>
        <v/>
      </c>
      <c r="AY64" s="1" t="str">
        <f t="shared" si="8"/>
        <v/>
      </c>
      <c r="AZ64" s="1" t="str">
        <f t="shared" si="9"/>
        <v/>
      </c>
    </row>
    <row r="65" ht="15.75" customHeight="1">
      <c r="AR65" s="1" t="str">
        <f t="shared" si="1"/>
        <v/>
      </c>
      <c r="AS65" s="1" t="str">
        <f t="shared" si="2"/>
        <v/>
      </c>
      <c r="AT65" s="1" t="str">
        <f t="shared" si="3"/>
        <v/>
      </c>
      <c r="AU65" s="1" t="str">
        <f t="shared" si="4"/>
        <v/>
      </c>
      <c r="AV65" s="1" t="str">
        <f t="shared" si="5"/>
        <v/>
      </c>
      <c r="AW65" s="1" t="str">
        <f t="shared" si="6"/>
        <v/>
      </c>
      <c r="AX65" s="1" t="str">
        <f t="shared" si="7"/>
        <v/>
      </c>
      <c r="AY65" s="1" t="str">
        <f t="shared" si="8"/>
        <v/>
      </c>
      <c r="AZ65" s="1" t="str">
        <f t="shared" si="9"/>
        <v/>
      </c>
    </row>
    <row r="66" ht="15.75" customHeight="1">
      <c r="AR66" s="1" t="str">
        <f t="shared" si="1"/>
        <v/>
      </c>
      <c r="AS66" s="1" t="str">
        <f t="shared" si="2"/>
        <v/>
      </c>
      <c r="AT66" s="1" t="str">
        <f t="shared" si="3"/>
        <v/>
      </c>
      <c r="AU66" s="1" t="str">
        <f t="shared" si="4"/>
        <v/>
      </c>
      <c r="AV66" s="1" t="str">
        <f t="shared" si="5"/>
        <v/>
      </c>
      <c r="AW66" s="1" t="str">
        <f t="shared" si="6"/>
        <v/>
      </c>
      <c r="AX66" s="1" t="str">
        <f t="shared" si="7"/>
        <v/>
      </c>
      <c r="AY66" s="1" t="str">
        <f t="shared" si="8"/>
        <v/>
      </c>
      <c r="AZ66" s="1" t="str">
        <f t="shared" si="9"/>
        <v/>
      </c>
    </row>
    <row r="67" ht="15.75" customHeight="1">
      <c r="AR67" s="1" t="str">
        <f t="shared" si="1"/>
        <v/>
      </c>
      <c r="AS67" s="1" t="str">
        <f t="shared" si="2"/>
        <v/>
      </c>
      <c r="AT67" s="1" t="str">
        <f t="shared" si="3"/>
        <v/>
      </c>
      <c r="AU67" s="1" t="str">
        <f t="shared" si="4"/>
        <v/>
      </c>
      <c r="AV67" s="1" t="str">
        <f t="shared" si="5"/>
        <v/>
      </c>
      <c r="AW67" s="1" t="str">
        <f t="shared" si="6"/>
        <v/>
      </c>
      <c r="AX67" s="1" t="str">
        <f t="shared" si="7"/>
        <v/>
      </c>
      <c r="AY67" s="1" t="str">
        <f t="shared" si="8"/>
        <v/>
      </c>
      <c r="AZ67" s="1" t="str">
        <f t="shared" si="9"/>
        <v/>
      </c>
    </row>
    <row r="68" ht="15.75" customHeight="1">
      <c r="AR68" s="1" t="str">
        <f t="shared" si="1"/>
        <v/>
      </c>
      <c r="AS68" s="1" t="str">
        <f t="shared" si="2"/>
        <v/>
      </c>
      <c r="AT68" s="1" t="str">
        <f t="shared" si="3"/>
        <v/>
      </c>
      <c r="AU68" s="1" t="str">
        <f t="shared" si="4"/>
        <v/>
      </c>
      <c r="AV68" s="1" t="str">
        <f t="shared" si="5"/>
        <v/>
      </c>
      <c r="AW68" s="1" t="str">
        <f t="shared" si="6"/>
        <v/>
      </c>
      <c r="AX68" s="1" t="str">
        <f t="shared" si="7"/>
        <v/>
      </c>
      <c r="AY68" s="1" t="str">
        <f t="shared" si="8"/>
        <v/>
      </c>
      <c r="AZ68" s="1" t="str">
        <f t="shared" si="9"/>
        <v/>
      </c>
    </row>
    <row r="69" ht="15.75" customHeight="1">
      <c r="AR69" s="1" t="str">
        <f t="shared" si="1"/>
        <v/>
      </c>
      <c r="AS69" s="1" t="str">
        <f t="shared" si="2"/>
        <v/>
      </c>
      <c r="AT69" s="1" t="str">
        <f t="shared" si="3"/>
        <v/>
      </c>
      <c r="AU69" s="1" t="str">
        <f t="shared" si="4"/>
        <v/>
      </c>
      <c r="AV69" s="1" t="str">
        <f t="shared" si="5"/>
        <v/>
      </c>
      <c r="AW69" s="1" t="str">
        <f t="shared" si="6"/>
        <v/>
      </c>
      <c r="AX69" s="1" t="str">
        <f t="shared" si="7"/>
        <v/>
      </c>
      <c r="AY69" s="1" t="str">
        <f t="shared" si="8"/>
        <v/>
      </c>
      <c r="AZ69" s="1" t="str">
        <f t="shared" si="9"/>
        <v/>
      </c>
    </row>
    <row r="70" ht="15.75" customHeight="1">
      <c r="AR70" s="1" t="str">
        <f t="shared" si="1"/>
        <v/>
      </c>
      <c r="AS70" s="1" t="str">
        <f t="shared" si="2"/>
        <v/>
      </c>
      <c r="AT70" s="1" t="str">
        <f t="shared" si="3"/>
        <v/>
      </c>
      <c r="AU70" s="1" t="str">
        <f t="shared" si="4"/>
        <v/>
      </c>
      <c r="AV70" s="1" t="str">
        <f t="shared" si="5"/>
        <v/>
      </c>
      <c r="AW70" s="1" t="str">
        <f t="shared" si="6"/>
        <v/>
      </c>
      <c r="AX70" s="1" t="str">
        <f t="shared" si="7"/>
        <v/>
      </c>
      <c r="AY70" s="1" t="str">
        <f t="shared" si="8"/>
        <v/>
      </c>
      <c r="AZ70" s="1" t="str">
        <f t="shared" si="9"/>
        <v/>
      </c>
    </row>
    <row r="71" ht="15.75" customHeight="1">
      <c r="AR71" s="1" t="str">
        <f t="shared" si="1"/>
        <v/>
      </c>
      <c r="AS71" s="1" t="str">
        <f t="shared" si="2"/>
        <v/>
      </c>
      <c r="AT71" s="1" t="str">
        <f t="shared" si="3"/>
        <v/>
      </c>
      <c r="AU71" s="1" t="str">
        <f t="shared" si="4"/>
        <v/>
      </c>
      <c r="AV71" s="1" t="str">
        <f t="shared" si="5"/>
        <v/>
      </c>
      <c r="AW71" s="1" t="str">
        <f t="shared" si="6"/>
        <v/>
      </c>
      <c r="AX71" s="1" t="str">
        <f t="shared" si="7"/>
        <v/>
      </c>
      <c r="AY71" s="1" t="str">
        <f t="shared" si="8"/>
        <v/>
      </c>
      <c r="AZ71" s="1" t="str">
        <f t="shared" si="9"/>
        <v/>
      </c>
    </row>
    <row r="72" ht="15.75" customHeight="1">
      <c r="AR72" s="1" t="str">
        <f t="shared" si="1"/>
        <v/>
      </c>
      <c r="AS72" s="1" t="str">
        <f t="shared" si="2"/>
        <v/>
      </c>
      <c r="AT72" s="1" t="str">
        <f t="shared" si="3"/>
        <v/>
      </c>
      <c r="AU72" s="1" t="str">
        <f t="shared" si="4"/>
        <v/>
      </c>
      <c r="AV72" s="1" t="str">
        <f t="shared" si="5"/>
        <v/>
      </c>
      <c r="AW72" s="1" t="str">
        <f t="shared" si="6"/>
        <v/>
      </c>
      <c r="AX72" s="1" t="str">
        <f t="shared" si="7"/>
        <v/>
      </c>
      <c r="AY72" s="1" t="str">
        <f t="shared" si="8"/>
        <v/>
      </c>
      <c r="AZ72" s="1" t="str">
        <f t="shared" si="9"/>
        <v/>
      </c>
    </row>
    <row r="73" ht="15.75" customHeight="1">
      <c r="AR73" s="1" t="str">
        <f t="shared" si="1"/>
        <v/>
      </c>
      <c r="AS73" s="1" t="str">
        <f t="shared" si="2"/>
        <v/>
      </c>
      <c r="AT73" s="1" t="str">
        <f t="shared" si="3"/>
        <v/>
      </c>
      <c r="AU73" s="1" t="str">
        <f t="shared" si="4"/>
        <v/>
      </c>
      <c r="AV73" s="1" t="str">
        <f t="shared" si="5"/>
        <v/>
      </c>
      <c r="AW73" s="1" t="str">
        <f t="shared" si="6"/>
        <v/>
      </c>
      <c r="AX73" s="1" t="str">
        <f t="shared" si="7"/>
        <v/>
      </c>
      <c r="AY73" s="1" t="str">
        <f t="shared" si="8"/>
        <v/>
      </c>
      <c r="AZ73" s="1" t="str">
        <f t="shared" si="9"/>
        <v/>
      </c>
    </row>
    <row r="74" ht="15.75" customHeight="1">
      <c r="AR74" s="1" t="str">
        <f t="shared" si="1"/>
        <v/>
      </c>
      <c r="AS74" s="1" t="str">
        <f t="shared" si="2"/>
        <v/>
      </c>
      <c r="AT74" s="1" t="str">
        <f t="shared" si="3"/>
        <v/>
      </c>
      <c r="AU74" s="1" t="str">
        <f t="shared" si="4"/>
        <v/>
      </c>
      <c r="AV74" s="1" t="str">
        <f t="shared" si="5"/>
        <v/>
      </c>
      <c r="AW74" s="1" t="str">
        <f t="shared" si="6"/>
        <v/>
      </c>
      <c r="AX74" s="1" t="str">
        <f t="shared" si="7"/>
        <v/>
      </c>
      <c r="AY74" s="1" t="str">
        <f t="shared" si="8"/>
        <v/>
      </c>
      <c r="AZ74" s="1" t="str">
        <f t="shared" si="9"/>
        <v/>
      </c>
    </row>
    <row r="75" ht="15.75" customHeight="1">
      <c r="AR75" s="1" t="str">
        <f t="shared" si="1"/>
        <v/>
      </c>
      <c r="AS75" s="1" t="str">
        <f t="shared" si="2"/>
        <v/>
      </c>
      <c r="AT75" s="1" t="str">
        <f t="shared" si="3"/>
        <v/>
      </c>
      <c r="AU75" s="1" t="str">
        <f t="shared" si="4"/>
        <v/>
      </c>
      <c r="AV75" s="1" t="str">
        <f t="shared" si="5"/>
        <v/>
      </c>
      <c r="AW75" s="1" t="str">
        <f t="shared" si="6"/>
        <v/>
      </c>
      <c r="AX75" s="1" t="str">
        <f t="shared" si="7"/>
        <v/>
      </c>
      <c r="AY75" s="1" t="str">
        <f t="shared" si="8"/>
        <v/>
      </c>
      <c r="AZ75" s="1" t="str">
        <f t="shared" si="9"/>
        <v/>
      </c>
    </row>
    <row r="76" ht="15.75" customHeight="1">
      <c r="AR76" s="1" t="str">
        <f t="shared" si="1"/>
        <v/>
      </c>
      <c r="AS76" s="1" t="str">
        <f t="shared" si="2"/>
        <v/>
      </c>
      <c r="AT76" s="1" t="str">
        <f t="shared" si="3"/>
        <v/>
      </c>
      <c r="AU76" s="1" t="str">
        <f t="shared" si="4"/>
        <v/>
      </c>
      <c r="AV76" s="1" t="str">
        <f t="shared" si="5"/>
        <v/>
      </c>
      <c r="AW76" s="1" t="str">
        <f t="shared" si="6"/>
        <v/>
      </c>
      <c r="AX76" s="1" t="str">
        <f t="shared" si="7"/>
        <v/>
      </c>
      <c r="AY76" s="1" t="str">
        <f t="shared" si="8"/>
        <v/>
      </c>
      <c r="AZ76" s="1" t="str">
        <f t="shared" si="9"/>
        <v/>
      </c>
    </row>
    <row r="77" ht="15.75" customHeight="1">
      <c r="AR77" s="1" t="str">
        <f t="shared" si="1"/>
        <v/>
      </c>
      <c r="AS77" s="1" t="str">
        <f t="shared" si="2"/>
        <v/>
      </c>
      <c r="AT77" s="1" t="str">
        <f t="shared" si="3"/>
        <v/>
      </c>
      <c r="AU77" s="1" t="str">
        <f t="shared" si="4"/>
        <v/>
      </c>
      <c r="AV77" s="1" t="str">
        <f t="shared" si="5"/>
        <v/>
      </c>
      <c r="AW77" s="1" t="str">
        <f t="shared" si="6"/>
        <v/>
      </c>
      <c r="AX77" s="1" t="str">
        <f t="shared" si="7"/>
        <v/>
      </c>
      <c r="AY77" s="1" t="str">
        <f t="shared" si="8"/>
        <v/>
      </c>
      <c r="AZ77" s="1" t="str">
        <f t="shared" si="9"/>
        <v/>
      </c>
    </row>
    <row r="78" ht="15.75" customHeight="1">
      <c r="AR78" s="1" t="str">
        <f t="shared" si="1"/>
        <v/>
      </c>
      <c r="AS78" s="1" t="str">
        <f t="shared" si="2"/>
        <v/>
      </c>
      <c r="AT78" s="1" t="str">
        <f t="shared" si="3"/>
        <v/>
      </c>
      <c r="AU78" s="1" t="str">
        <f t="shared" si="4"/>
        <v/>
      </c>
      <c r="AV78" s="1" t="str">
        <f t="shared" si="5"/>
        <v/>
      </c>
      <c r="AW78" s="1" t="str">
        <f t="shared" si="6"/>
        <v/>
      </c>
      <c r="AX78" s="1" t="str">
        <f t="shared" si="7"/>
        <v/>
      </c>
      <c r="AY78" s="1" t="str">
        <f t="shared" si="8"/>
        <v/>
      </c>
      <c r="AZ78" s="1" t="str">
        <f t="shared" si="9"/>
        <v/>
      </c>
    </row>
    <row r="79" ht="15.75" customHeight="1">
      <c r="AR79" s="1" t="str">
        <f t="shared" si="1"/>
        <v/>
      </c>
      <c r="AS79" s="1" t="str">
        <f t="shared" si="2"/>
        <v/>
      </c>
      <c r="AT79" s="1" t="str">
        <f t="shared" si="3"/>
        <v/>
      </c>
      <c r="AU79" s="1" t="str">
        <f t="shared" si="4"/>
        <v/>
      </c>
      <c r="AV79" s="1" t="str">
        <f t="shared" si="5"/>
        <v/>
      </c>
      <c r="AW79" s="1" t="str">
        <f t="shared" si="6"/>
        <v/>
      </c>
      <c r="AX79" s="1" t="str">
        <f t="shared" si="7"/>
        <v/>
      </c>
      <c r="AY79" s="1" t="str">
        <f t="shared" si="8"/>
        <v/>
      </c>
      <c r="AZ79" s="1" t="str">
        <f t="shared" si="9"/>
        <v/>
      </c>
    </row>
    <row r="80" ht="15.75" customHeight="1">
      <c r="AR80" s="1" t="str">
        <f t="shared" si="1"/>
        <v/>
      </c>
      <c r="AS80" s="1" t="str">
        <f t="shared" si="2"/>
        <v/>
      </c>
      <c r="AT80" s="1" t="str">
        <f t="shared" si="3"/>
        <v/>
      </c>
      <c r="AU80" s="1" t="str">
        <f t="shared" si="4"/>
        <v/>
      </c>
      <c r="AV80" s="1" t="str">
        <f t="shared" si="5"/>
        <v/>
      </c>
      <c r="AW80" s="1" t="str">
        <f t="shared" si="6"/>
        <v/>
      </c>
      <c r="AX80" s="1" t="str">
        <f t="shared" si="7"/>
        <v/>
      </c>
      <c r="AY80" s="1" t="str">
        <f t="shared" si="8"/>
        <v/>
      </c>
      <c r="AZ80" s="1" t="str">
        <f t="shared" si="9"/>
        <v/>
      </c>
    </row>
    <row r="81" ht="15.75" customHeight="1">
      <c r="AR81" s="1" t="str">
        <f t="shared" si="1"/>
        <v/>
      </c>
      <c r="AS81" s="1" t="str">
        <f t="shared" si="2"/>
        <v/>
      </c>
      <c r="AT81" s="1" t="str">
        <f t="shared" si="3"/>
        <v/>
      </c>
      <c r="AU81" s="1" t="str">
        <f t="shared" si="4"/>
        <v/>
      </c>
      <c r="AV81" s="1" t="str">
        <f t="shared" si="5"/>
        <v/>
      </c>
      <c r="AW81" s="1" t="str">
        <f t="shared" si="6"/>
        <v/>
      </c>
      <c r="AX81" s="1" t="str">
        <f t="shared" si="7"/>
        <v/>
      </c>
      <c r="AY81" s="1" t="str">
        <f t="shared" si="8"/>
        <v/>
      </c>
      <c r="AZ81" s="1" t="str">
        <f t="shared" si="9"/>
        <v/>
      </c>
    </row>
    <row r="82" ht="15.75" customHeight="1">
      <c r="AR82" s="1" t="str">
        <f t="shared" si="1"/>
        <v/>
      </c>
      <c r="AS82" s="1" t="str">
        <f t="shared" si="2"/>
        <v/>
      </c>
      <c r="AT82" s="1" t="str">
        <f t="shared" si="3"/>
        <v/>
      </c>
      <c r="AU82" s="1" t="str">
        <f t="shared" si="4"/>
        <v/>
      </c>
      <c r="AV82" s="1" t="str">
        <f t="shared" si="5"/>
        <v/>
      </c>
      <c r="AW82" s="1" t="str">
        <f t="shared" si="6"/>
        <v/>
      </c>
      <c r="AX82" s="1" t="str">
        <f t="shared" si="7"/>
        <v/>
      </c>
      <c r="AY82" s="1" t="str">
        <f t="shared" si="8"/>
        <v/>
      </c>
      <c r="AZ82" s="1" t="str">
        <f t="shared" si="9"/>
        <v/>
      </c>
    </row>
    <row r="83" ht="15.75" customHeight="1">
      <c r="AR83" s="1" t="str">
        <f t="shared" si="1"/>
        <v/>
      </c>
      <c r="AS83" s="1" t="str">
        <f t="shared" si="2"/>
        <v/>
      </c>
      <c r="AT83" s="1" t="str">
        <f t="shared" si="3"/>
        <v/>
      </c>
      <c r="AU83" s="1" t="str">
        <f t="shared" si="4"/>
        <v/>
      </c>
      <c r="AV83" s="1" t="str">
        <f t="shared" si="5"/>
        <v/>
      </c>
      <c r="AW83" s="1" t="str">
        <f t="shared" si="6"/>
        <v/>
      </c>
      <c r="AX83" s="1" t="str">
        <f t="shared" si="7"/>
        <v/>
      </c>
      <c r="AY83" s="1" t="str">
        <f t="shared" si="8"/>
        <v/>
      </c>
      <c r="AZ83" s="1" t="str">
        <f t="shared" si="9"/>
        <v/>
      </c>
    </row>
    <row r="84" ht="15.75" customHeight="1">
      <c r="AR84" s="1" t="str">
        <f t="shared" si="1"/>
        <v/>
      </c>
      <c r="AS84" s="1" t="str">
        <f t="shared" si="2"/>
        <v/>
      </c>
      <c r="AT84" s="1" t="str">
        <f t="shared" si="3"/>
        <v/>
      </c>
      <c r="AU84" s="1" t="str">
        <f t="shared" si="4"/>
        <v/>
      </c>
      <c r="AV84" s="1" t="str">
        <f t="shared" si="5"/>
        <v/>
      </c>
      <c r="AW84" s="1" t="str">
        <f t="shared" si="6"/>
        <v/>
      </c>
      <c r="AX84" s="1" t="str">
        <f t="shared" si="7"/>
        <v/>
      </c>
      <c r="AY84" s="1" t="str">
        <f t="shared" si="8"/>
        <v/>
      </c>
      <c r="AZ84" s="1" t="str">
        <f t="shared" si="9"/>
        <v/>
      </c>
    </row>
    <row r="85" ht="15.75" customHeight="1">
      <c r="AR85" s="1" t="str">
        <f t="shared" si="1"/>
        <v/>
      </c>
      <c r="AS85" s="1" t="str">
        <f t="shared" si="2"/>
        <v/>
      </c>
      <c r="AT85" s="1" t="str">
        <f t="shared" si="3"/>
        <v/>
      </c>
      <c r="AU85" s="1" t="str">
        <f t="shared" si="4"/>
        <v/>
      </c>
      <c r="AV85" s="1" t="str">
        <f t="shared" si="5"/>
        <v/>
      </c>
      <c r="AW85" s="1" t="str">
        <f t="shared" si="6"/>
        <v/>
      </c>
      <c r="AX85" s="1" t="str">
        <f t="shared" si="7"/>
        <v/>
      </c>
      <c r="AY85" s="1" t="str">
        <f t="shared" si="8"/>
        <v/>
      </c>
      <c r="AZ85" s="1" t="str">
        <f t="shared" si="9"/>
        <v/>
      </c>
    </row>
    <row r="86" ht="15.75" customHeight="1">
      <c r="AR86" s="1" t="str">
        <f t="shared" si="1"/>
        <v/>
      </c>
      <c r="AS86" s="1" t="str">
        <f t="shared" si="2"/>
        <v/>
      </c>
      <c r="AT86" s="1" t="str">
        <f t="shared" si="3"/>
        <v/>
      </c>
      <c r="AU86" s="1" t="str">
        <f t="shared" si="4"/>
        <v/>
      </c>
      <c r="AV86" s="1" t="str">
        <f t="shared" si="5"/>
        <v/>
      </c>
      <c r="AW86" s="1" t="str">
        <f t="shared" si="6"/>
        <v/>
      </c>
      <c r="AX86" s="1" t="str">
        <f t="shared" si="7"/>
        <v/>
      </c>
      <c r="AY86" s="1" t="str">
        <f t="shared" si="8"/>
        <v/>
      </c>
      <c r="AZ86" s="1" t="str">
        <f t="shared" si="9"/>
        <v/>
      </c>
    </row>
    <row r="87" ht="15.75" customHeight="1">
      <c r="AR87" s="1" t="str">
        <f t="shared" si="1"/>
        <v/>
      </c>
      <c r="AS87" s="1" t="str">
        <f t="shared" si="2"/>
        <v/>
      </c>
      <c r="AT87" s="1" t="str">
        <f t="shared" si="3"/>
        <v/>
      </c>
      <c r="AU87" s="1" t="str">
        <f t="shared" si="4"/>
        <v/>
      </c>
      <c r="AV87" s="1" t="str">
        <f t="shared" si="5"/>
        <v/>
      </c>
      <c r="AW87" s="1" t="str">
        <f t="shared" si="6"/>
        <v/>
      </c>
      <c r="AX87" s="1" t="str">
        <f t="shared" si="7"/>
        <v/>
      </c>
      <c r="AY87" s="1" t="str">
        <f t="shared" si="8"/>
        <v/>
      </c>
      <c r="AZ87" s="1" t="str">
        <f t="shared" si="9"/>
        <v/>
      </c>
    </row>
    <row r="88" ht="15.75" customHeight="1">
      <c r="AR88" s="1" t="str">
        <f t="shared" si="1"/>
        <v/>
      </c>
      <c r="AS88" s="1" t="str">
        <f t="shared" si="2"/>
        <v/>
      </c>
      <c r="AT88" s="1" t="str">
        <f t="shared" si="3"/>
        <v/>
      </c>
      <c r="AU88" s="1" t="str">
        <f t="shared" si="4"/>
        <v/>
      </c>
      <c r="AV88" s="1" t="str">
        <f t="shared" si="5"/>
        <v/>
      </c>
      <c r="AW88" s="1" t="str">
        <f t="shared" si="6"/>
        <v/>
      </c>
      <c r="AX88" s="1" t="str">
        <f t="shared" si="7"/>
        <v/>
      </c>
      <c r="AY88" s="1" t="str">
        <f t="shared" si="8"/>
        <v/>
      </c>
      <c r="AZ88" s="1" t="str">
        <f t="shared" si="9"/>
        <v/>
      </c>
    </row>
    <row r="89" ht="15.75" customHeight="1">
      <c r="AR89" s="1" t="str">
        <f t="shared" si="1"/>
        <v/>
      </c>
      <c r="AS89" s="1" t="str">
        <f t="shared" si="2"/>
        <v/>
      </c>
      <c r="AT89" s="1" t="str">
        <f t="shared" si="3"/>
        <v/>
      </c>
      <c r="AU89" s="1" t="str">
        <f t="shared" si="4"/>
        <v/>
      </c>
      <c r="AV89" s="1" t="str">
        <f t="shared" si="5"/>
        <v/>
      </c>
      <c r="AW89" s="1" t="str">
        <f t="shared" si="6"/>
        <v/>
      </c>
      <c r="AX89" s="1" t="str">
        <f t="shared" si="7"/>
        <v/>
      </c>
      <c r="AY89" s="1" t="str">
        <f t="shared" si="8"/>
        <v/>
      </c>
      <c r="AZ89" s="1" t="str">
        <f t="shared" si="9"/>
        <v/>
      </c>
    </row>
    <row r="90" ht="15.75" customHeight="1">
      <c r="AR90" s="1" t="str">
        <f t="shared" si="1"/>
        <v/>
      </c>
      <c r="AS90" s="1" t="str">
        <f t="shared" si="2"/>
        <v/>
      </c>
      <c r="AT90" s="1" t="str">
        <f t="shared" si="3"/>
        <v/>
      </c>
      <c r="AU90" s="1" t="str">
        <f t="shared" si="4"/>
        <v/>
      </c>
      <c r="AV90" s="1" t="str">
        <f t="shared" si="5"/>
        <v/>
      </c>
      <c r="AW90" s="1" t="str">
        <f t="shared" si="6"/>
        <v/>
      </c>
      <c r="AX90" s="1" t="str">
        <f t="shared" si="7"/>
        <v/>
      </c>
      <c r="AY90" s="1" t="str">
        <f t="shared" si="8"/>
        <v/>
      </c>
      <c r="AZ90" s="1" t="str">
        <f t="shared" si="9"/>
        <v/>
      </c>
    </row>
    <row r="91" ht="15.75" customHeight="1">
      <c r="AR91" s="1" t="str">
        <f t="shared" si="1"/>
        <v/>
      </c>
      <c r="AS91" s="1" t="str">
        <f t="shared" si="2"/>
        <v/>
      </c>
      <c r="AT91" s="1" t="str">
        <f t="shared" si="3"/>
        <v/>
      </c>
      <c r="AU91" s="1" t="str">
        <f t="shared" si="4"/>
        <v/>
      </c>
      <c r="AV91" s="1" t="str">
        <f t="shared" si="5"/>
        <v/>
      </c>
      <c r="AW91" s="1" t="str">
        <f t="shared" si="6"/>
        <v/>
      </c>
      <c r="AX91" s="1" t="str">
        <f t="shared" si="7"/>
        <v/>
      </c>
      <c r="AY91" s="1" t="str">
        <f t="shared" si="8"/>
        <v/>
      </c>
      <c r="AZ91" s="1" t="str">
        <f t="shared" si="9"/>
        <v/>
      </c>
    </row>
    <row r="92" ht="15.75" customHeight="1">
      <c r="AR92" s="1" t="str">
        <f t="shared" si="1"/>
        <v/>
      </c>
      <c r="AS92" s="1" t="str">
        <f t="shared" si="2"/>
        <v/>
      </c>
      <c r="AT92" s="1" t="str">
        <f t="shared" si="3"/>
        <v/>
      </c>
      <c r="AU92" s="1" t="str">
        <f t="shared" si="4"/>
        <v/>
      </c>
      <c r="AV92" s="1" t="str">
        <f t="shared" si="5"/>
        <v/>
      </c>
      <c r="AW92" s="1" t="str">
        <f t="shared" si="6"/>
        <v/>
      </c>
      <c r="AX92" s="1" t="str">
        <f t="shared" si="7"/>
        <v/>
      </c>
      <c r="AY92" s="1" t="str">
        <f t="shared" si="8"/>
        <v/>
      </c>
      <c r="AZ92" s="1" t="str">
        <f t="shared" si="9"/>
        <v/>
      </c>
    </row>
    <row r="93" ht="15.75" customHeight="1">
      <c r="AR93" s="1" t="str">
        <f t="shared" si="1"/>
        <v/>
      </c>
      <c r="AS93" s="1" t="str">
        <f t="shared" si="2"/>
        <v/>
      </c>
      <c r="AT93" s="1" t="str">
        <f t="shared" si="3"/>
        <v/>
      </c>
      <c r="AU93" s="1" t="str">
        <f t="shared" si="4"/>
        <v/>
      </c>
      <c r="AV93" s="1" t="str">
        <f t="shared" si="5"/>
        <v/>
      </c>
      <c r="AW93" s="1" t="str">
        <f t="shared" si="6"/>
        <v/>
      </c>
      <c r="AX93" s="1" t="str">
        <f t="shared" si="7"/>
        <v/>
      </c>
      <c r="AY93" s="1" t="str">
        <f t="shared" si="8"/>
        <v/>
      </c>
      <c r="AZ93" s="1" t="str">
        <f t="shared" si="9"/>
        <v/>
      </c>
    </row>
    <row r="94" ht="15.75" customHeight="1">
      <c r="AR94" s="1" t="str">
        <f t="shared" si="1"/>
        <v/>
      </c>
      <c r="AS94" s="1" t="str">
        <f t="shared" si="2"/>
        <v/>
      </c>
      <c r="AT94" s="1" t="str">
        <f t="shared" si="3"/>
        <v/>
      </c>
      <c r="AU94" s="1" t="str">
        <f t="shared" si="4"/>
        <v/>
      </c>
      <c r="AV94" s="1" t="str">
        <f t="shared" si="5"/>
        <v/>
      </c>
      <c r="AW94" s="1" t="str">
        <f t="shared" si="6"/>
        <v/>
      </c>
      <c r="AX94" s="1" t="str">
        <f t="shared" si="7"/>
        <v/>
      </c>
      <c r="AY94" s="1" t="str">
        <f t="shared" si="8"/>
        <v/>
      </c>
      <c r="AZ94" s="1" t="str">
        <f t="shared" si="9"/>
        <v/>
      </c>
    </row>
    <row r="95" ht="15.75" customHeight="1">
      <c r="AR95" s="1" t="str">
        <f t="shared" si="1"/>
        <v/>
      </c>
      <c r="AS95" s="1" t="str">
        <f t="shared" si="2"/>
        <v/>
      </c>
      <c r="AT95" s="1" t="str">
        <f t="shared" si="3"/>
        <v/>
      </c>
      <c r="AU95" s="1" t="str">
        <f t="shared" si="4"/>
        <v/>
      </c>
      <c r="AV95" s="1" t="str">
        <f t="shared" si="5"/>
        <v/>
      </c>
      <c r="AW95" s="1" t="str">
        <f t="shared" si="6"/>
        <v/>
      </c>
      <c r="AX95" s="1" t="str">
        <f t="shared" si="7"/>
        <v/>
      </c>
      <c r="AY95" s="1" t="str">
        <f t="shared" si="8"/>
        <v/>
      </c>
      <c r="AZ95" s="1" t="str">
        <f t="shared" si="9"/>
        <v/>
      </c>
    </row>
    <row r="96" ht="15.75" customHeight="1">
      <c r="AR96" s="1" t="str">
        <f t="shared" si="1"/>
        <v/>
      </c>
      <c r="AS96" s="1" t="str">
        <f t="shared" si="2"/>
        <v/>
      </c>
      <c r="AT96" s="1" t="str">
        <f t="shared" si="3"/>
        <v/>
      </c>
      <c r="AU96" s="1" t="str">
        <f t="shared" si="4"/>
        <v/>
      </c>
      <c r="AV96" s="1" t="str">
        <f t="shared" si="5"/>
        <v/>
      </c>
      <c r="AW96" s="1" t="str">
        <f t="shared" si="6"/>
        <v/>
      </c>
      <c r="AX96" s="1" t="str">
        <f t="shared" si="7"/>
        <v/>
      </c>
      <c r="AY96" s="1" t="str">
        <f t="shared" si="8"/>
        <v/>
      </c>
      <c r="AZ96" s="1" t="str">
        <f t="shared" si="9"/>
        <v/>
      </c>
    </row>
    <row r="97" ht="15.75" customHeight="1">
      <c r="AR97" s="1" t="str">
        <f t="shared" si="1"/>
        <v/>
      </c>
      <c r="AS97" s="1" t="str">
        <f t="shared" si="2"/>
        <v/>
      </c>
      <c r="AT97" s="1" t="str">
        <f t="shared" si="3"/>
        <v/>
      </c>
      <c r="AU97" s="1" t="str">
        <f t="shared" si="4"/>
        <v/>
      </c>
      <c r="AV97" s="1" t="str">
        <f t="shared" si="5"/>
        <v/>
      </c>
      <c r="AW97" s="1" t="str">
        <f t="shared" si="6"/>
        <v/>
      </c>
      <c r="AX97" s="1" t="str">
        <f t="shared" si="7"/>
        <v/>
      </c>
      <c r="AY97" s="1" t="str">
        <f t="shared" si="8"/>
        <v/>
      </c>
      <c r="AZ97" s="1" t="str">
        <f t="shared" si="9"/>
        <v/>
      </c>
    </row>
    <row r="98" ht="15.75" customHeight="1">
      <c r="AR98" s="1" t="str">
        <f t="shared" si="1"/>
        <v/>
      </c>
      <c r="AS98" s="1" t="str">
        <f t="shared" si="2"/>
        <v/>
      </c>
      <c r="AT98" s="1" t="str">
        <f t="shared" si="3"/>
        <v/>
      </c>
      <c r="AU98" s="1" t="str">
        <f t="shared" si="4"/>
        <v/>
      </c>
      <c r="AV98" s="1" t="str">
        <f t="shared" si="5"/>
        <v/>
      </c>
      <c r="AW98" s="1" t="str">
        <f t="shared" si="6"/>
        <v/>
      </c>
      <c r="AX98" s="1" t="str">
        <f t="shared" si="7"/>
        <v/>
      </c>
      <c r="AY98" s="1" t="str">
        <f t="shared" si="8"/>
        <v/>
      </c>
      <c r="AZ98" s="1" t="str">
        <f t="shared" si="9"/>
        <v/>
      </c>
    </row>
    <row r="99" ht="15.75" customHeight="1">
      <c r="AR99" s="1" t="str">
        <f t="shared" si="1"/>
        <v/>
      </c>
      <c r="AS99" s="1" t="str">
        <f t="shared" si="2"/>
        <v/>
      </c>
      <c r="AT99" s="1" t="str">
        <f t="shared" si="3"/>
        <v/>
      </c>
      <c r="AU99" s="1" t="str">
        <f t="shared" si="4"/>
        <v/>
      </c>
      <c r="AV99" s="1" t="str">
        <f t="shared" si="5"/>
        <v/>
      </c>
      <c r="AW99" s="1" t="str">
        <f t="shared" si="6"/>
        <v/>
      </c>
      <c r="AX99" s="1" t="str">
        <f t="shared" si="7"/>
        <v/>
      </c>
      <c r="AY99" s="1" t="str">
        <f t="shared" si="8"/>
        <v/>
      </c>
      <c r="AZ99" s="1" t="str">
        <f t="shared" si="9"/>
        <v/>
      </c>
    </row>
    <row r="100" ht="15.75" customHeight="1">
      <c r="AR100" s="1" t="str">
        <f t="shared" si="1"/>
        <v/>
      </c>
      <c r="AS100" s="1" t="str">
        <f t="shared" si="2"/>
        <v/>
      </c>
      <c r="AT100" s="1" t="str">
        <f t="shared" si="3"/>
        <v/>
      </c>
      <c r="AU100" s="1" t="str">
        <f t="shared" si="4"/>
        <v/>
      </c>
      <c r="AV100" s="1" t="str">
        <f t="shared" si="5"/>
        <v/>
      </c>
      <c r="AW100" s="1" t="str">
        <f t="shared" si="6"/>
        <v/>
      </c>
      <c r="AX100" s="1" t="str">
        <f t="shared" si="7"/>
        <v/>
      </c>
      <c r="AY100" s="1" t="str">
        <f t="shared" si="8"/>
        <v/>
      </c>
      <c r="AZ100" s="1" t="str">
        <f t="shared" si="9"/>
        <v/>
      </c>
    </row>
    <row r="101" ht="15.75" customHeight="1">
      <c r="AR101" s="1" t="str">
        <f t="shared" si="1"/>
        <v/>
      </c>
      <c r="AS101" s="1" t="str">
        <f t="shared" si="2"/>
        <v/>
      </c>
      <c r="AT101" s="1" t="str">
        <f t="shared" si="3"/>
        <v/>
      </c>
      <c r="AU101" s="1" t="str">
        <f t="shared" si="4"/>
        <v/>
      </c>
      <c r="AV101" s="1" t="str">
        <f t="shared" si="5"/>
        <v/>
      </c>
      <c r="AW101" s="1" t="str">
        <f t="shared" si="6"/>
        <v/>
      </c>
      <c r="AX101" s="1" t="str">
        <f t="shared" si="7"/>
        <v/>
      </c>
      <c r="AY101" s="1" t="str">
        <f t="shared" si="8"/>
        <v/>
      </c>
      <c r="AZ101" s="1" t="str">
        <f t="shared" si="9"/>
        <v/>
      </c>
    </row>
    <row r="102" ht="15.75" customHeight="1">
      <c r="AR102" s="1" t="str">
        <f t="shared" si="1"/>
        <v/>
      </c>
      <c r="AS102" s="1" t="str">
        <f t="shared" si="2"/>
        <v/>
      </c>
      <c r="AT102" s="1" t="str">
        <f t="shared" si="3"/>
        <v/>
      </c>
      <c r="AU102" s="1" t="str">
        <f t="shared" si="4"/>
        <v/>
      </c>
      <c r="AV102" s="1" t="str">
        <f t="shared" si="5"/>
        <v/>
      </c>
      <c r="AW102" s="1" t="str">
        <f t="shared" si="6"/>
        <v/>
      </c>
      <c r="AX102" s="1" t="str">
        <f t="shared" si="7"/>
        <v/>
      </c>
      <c r="AY102" s="1" t="str">
        <f t="shared" si="8"/>
        <v/>
      </c>
      <c r="AZ102" s="1" t="str">
        <f t="shared" si="9"/>
        <v/>
      </c>
    </row>
    <row r="103" ht="15.75" customHeight="1">
      <c r="AR103" s="1" t="str">
        <f t="shared" si="1"/>
        <v/>
      </c>
      <c r="AS103" s="1" t="str">
        <f t="shared" si="2"/>
        <v/>
      </c>
      <c r="AT103" s="1" t="str">
        <f t="shared" si="3"/>
        <v/>
      </c>
      <c r="AU103" s="1" t="str">
        <f t="shared" si="4"/>
        <v/>
      </c>
      <c r="AV103" s="1" t="str">
        <f t="shared" si="5"/>
        <v/>
      </c>
      <c r="AW103" s="1" t="str">
        <f t="shared" si="6"/>
        <v/>
      </c>
      <c r="AX103" s="1" t="str">
        <f t="shared" si="7"/>
        <v/>
      </c>
      <c r="AY103" s="1" t="str">
        <f t="shared" si="8"/>
        <v/>
      </c>
      <c r="AZ103" s="1" t="str">
        <f t="shared" si="9"/>
        <v/>
      </c>
    </row>
    <row r="104" ht="15.75" customHeight="1">
      <c r="AR104" s="1" t="str">
        <f t="shared" si="1"/>
        <v/>
      </c>
      <c r="AS104" s="1" t="str">
        <f t="shared" si="2"/>
        <v/>
      </c>
      <c r="AT104" s="1" t="str">
        <f t="shared" si="3"/>
        <v/>
      </c>
      <c r="AU104" s="1" t="str">
        <f t="shared" si="4"/>
        <v/>
      </c>
      <c r="AV104" s="1" t="str">
        <f t="shared" si="5"/>
        <v/>
      </c>
      <c r="AW104" s="1" t="str">
        <f t="shared" si="6"/>
        <v/>
      </c>
      <c r="AX104" s="1" t="str">
        <f t="shared" si="7"/>
        <v/>
      </c>
      <c r="AY104" s="1" t="str">
        <f t="shared" si="8"/>
        <v/>
      </c>
      <c r="AZ104" s="1" t="str">
        <f t="shared" si="9"/>
        <v/>
      </c>
    </row>
    <row r="105" ht="15.75" customHeight="1">
      <c r="AR105" s="1" t="str">
        <f t="shared" si="1"/>
        <v/>
      </c>
      <c r="AS105" s="1" t="str">
        <f t="shared" si="2"/>
        <v/>
      </c>
      <c r="AT105" s="1" t="str">
        <f t="shared" si="3"/>
        <v/>
      </c>
      <c r="AU105" s="1" t="str">
        <f t="shared" si="4"/>
        <v/>
      </c>
      <c r="AV105" s="1" t="str">
        <f t="shared" si="5"/>
        <v/>
      </c>
      <c r="AW105" s="1" t="str">
        <f t="shared" si="6"/>
        <v/>
      </c>
      <c r="AX105" s="1" t="str">
        <f t="shared" si="7"/>
        <v/>
      </c>
      <c r="AY105" s="1" t="str">
        <f t="shared" si="8"/>
        <v/>
      </c>
      <c r="AZ105" s="1" t="str">
        <f t="shared" si="9"/>
        <v/>
      </c>
    </row>
    <row r="106" ht="15.75" customHeight="1">
      <c r="AR106" s="1" t="str">
        <f t="shared" si="1"/>
        <v/>
      </c>
      <c r="AS106" s="1" t="str">
        <f t="shared" si="2"/>
        <v/>
      </c>
      <c r="AT106" s="1" t="str">
        <f t="shared" si="3"/>
        <v/>
      </c>
      <c r="AU106" s="1" t="str">
        <f t="shared" si="4"/>
        <v/>
      </c>
      <c r="AV106" s="1" t="str">
        <f t="shared" si="5"/>
        <v/>
      </c>
      <c r="AW106" s="1" t="str">
        <f t="shared" si="6"/>
        <v/>
      </c>
      <c r="AX106" s="1" t="str">
        <f t="shared" si="7"/>
        <v/>
      </c>
      <c r="AY106" s="1" t="str">
        <f t="shared" si="8"/>
        <v/>
      </c>
      <c r="AZ106" s="1" t="str">
        <f t="shared" si="9"/>
        <v/>
      </c>
    </row>
    <row r="107" ht="15.75" customHeight="1">
      <c r="AR107" s="1" t="str">
        <f t="shared" si="1"/>
        <v/>
      </c>
      <c r="AS107" s="1" t="str">
        <f t="shared" si="2"/>
        <v/>
      </c>
      <c r="AT107" s="1" t="str">
        <f t="shared" si="3"/>
        <v/>
      </c>
      <c r="AU107" s="1" t="str">
        <f t="shared" si="4"/>
        <v/>
      </c>
      <c r="AV107" s="1" t="str">
        <f t="shared" si="5"/>
        <v/>
      </c>
      <c r="AW107" s="1" t="str">
        <f t="shared" si="6"/>
        <v/>
      </c>
      <c r="AX107" s="1" t="str">
        <f t="shared" si="7"/>
        <v/>
      </c>
      <c r="AY107" s="1" t="str">
        <f t="shared" si="8"/>
        <v/>
      </c>
      <c r="AZ107" s="1" t="str">
        <f t="shared" si="9"/>
        <v/>
      </c>
    </row>
    <row r="108" ht="15.75" customHeight="1">
      <c r="AR108" s="1" t="str">
        <f t="shared" si="1"/>
        <v/>
      </c>
      <c r="AS108" s="1" t="str">
        <f t="shared" si="2"/>
        <v/>
      </c>
      <c r="AT108" s="1" t="str">
        <f t="shared" si="3"/>
        <v/>
      </c>
      <c r="AU108" s="1" t="str">
        <f t="shared" si="4"/>
        <v/>
      </c>
      <c r="AV108" s="1" t="str">
        <f t="shared" si="5"/>
        <v/>
      </c>
      <c r="AW108" s="1" t="str">
        <f t="shared" si="6"/>
        <v/>
      </c>
      <c r="AX108" s="1" t="str">
        <f t="shared" si="7"/>
        <v/>
      </c>
      <c r="AY108" s="1" t="str">
        <f t="shared" si="8"/>
        <v/>
      </c>
      <c r="AZ108" s="1" t="str">
        <f t="shared" si="9"/>
        <v/>
      </c>
    </row>
    <row r="109" ht="15.75" customHeight="1">
      <c r="AR109" s="1" t="str">
        <f t="shared" si="1"/>
        <v/>
      </c>
      <c r="AS109" s="1" t="str">
        <f t="shared" si="2"/>
        <v/>
      </c>
      <c r="AT109" s="1" t="str">
        <f t="shared" si="3"/>
        <v/>
      </c>
      <c r="AU109" s="1" t="str">
        <f t="shared" si="4"/>
        <v/>
      </c>
      <c r="AV109" s="1" t="str">
        <f t="shared" si="5"/>
        <v/>
      </c>
      <c r="AW109" s="1" t="str">
        <f t="shared" si="6"/>
        <v/>
      </c>
      <c r="AX109" s="1" t="str">
        <f t="shared" si="7"/>
        <v/>
      </c>
      <c r="AY109" s="1" t="str">
        <f t="shared" si="8"/>
        <v/>
      </c>
      <c r="AZ109" s="1" t="str">
        <f t="shared" si="9"/>
        <v/>
      </c>
    </row>
    <row r="110" ht="15.75" customHeight="1">
      <c r="AR110" s="1" t="str">
        <f t="shared" si="1"/>
        <v/>
      </c>
      <c r="AS110" s="1" t="str">
        <f t="shared" si="2"/>
        <v/>
      </c>
      <c r="AT110" s="1" t="str">
        <f t="shared" si="3"/>
        <v/>
      </c>
      <c r="AU110" s="1" t="str">
        <f t="shared" si="4"/>
        <v/>
      </c>
      <c r="AV110" s="1" t="str">
        <f t="shared" si="5"/>
        <v/>
      </c>
      <c r="AW110" s="1" t="str">
        <f t="shared" si="6"/>
        <v/>
      </c>
      <c r="AX110" s="1" t="str">
        <f t="shared" si="7"/>
        <v/>
      </c>
      <c r="AY110" s="1" t="str">
        <f t="shared" si="8"/>
        <v/>
      </c>
      <c r="AZ110" s="1" t="str">
        <f t="shared" si="9"/>
        <v/>
      </c>
    </row>
    <row r="111" ht="15.75" customHeight="1">
      <c r="AR111" s="1" t="str">
        <f t="shared" si="1"/>
        <v/>
      </c>
      <c r="AS111" s="1" t="str">
        <f t="shared" si="2"/>
        <v/>
      </c>
      <c r="AT111" s="1" t="str">
        <f t="shared" si="3"/>
        <v/>
      </c>
      <c r="AU111" s="1" t="str">
        <f t="shared" si="4"/>
        <v/>
      </c>
      <c r="AV111" s="1" t="str">
        <f t="shared" si="5"/>
        <v/>
      </c>
      <c r="AW111" s="1" t="str">
        <f t="shared" si="6"/>
        <v/>
      </c>
      <c r="AX111" s="1" t="str">
        <f t="shared" si="7"/>
        <v/>
      </c>
      <c r="AY111" s="1" t="str">
        <f t="shared" si="8"/>
        <v/>
      </c>
      <c r="AZ111" s="1" t="str">
        <f t="shared" si="9"/>
        <v/>
      </c>
    </row>
    <row r="112" ht="15.75" customHeight="1">
      <c r="AR112" s="1" t="str">
        <f t="shared" si="1"/>
        <v/>
      </c>
      <c r="AS112" s="1" t="str">
        <f t="shared" si="2"/>
        <v/>
      </c>
      <c r="AT112" s="1" t="str">
        <f t="shared" si="3"/>
        <v/>
      </c>
      <c r="AU112" s="1" t="str">
        <f t="shared" si="4"/>
        <v/>
      </c>
      <c r="AV112" s="1" t="str">
        <f t="shared" si="5"/>
        <v/>
      </c>
      <c r="AW112" s="1" t="str">
        <f t="shared" si="6"/>
        <v/>
      </c>
      <c r="AX112" s="1" t="str">
        <f t="shared" si="7"/>
        <v/>
      </c>
      <c r="AY112" s="1" t="str">
        <f t="shared" si="8"/>
        <v/>
      </c>
      <c r="AZ112" s="1" t="str">
        <f t="shared" si="9"/>
        <v/>
      </c>
    </row>
    <row r="113" ht="15.75" customHeight="1">
      <c r="AR113" s="1" t="str">
        <f t="shared" si="1"/>
        <v/>
      </c>
      <c r="AS113" s="1" t="str">
        <f t="shared" si="2"/>
        <v/>
      </c>
      <c r="AT113" s="1" t="str">
        <f t="shared" si="3"/>
        <v/>
      </c>
      <c r="AU113" s="1" t="str">
        <f t="shared" si="4"/>
        <v/>
      </c>
      <c r="AV113" s="1" t="str">
        <f t="shared" si="5"/>
        <v/>
      </c>
      <c r="AW113" s="1" t="str">
        <f t="shared" si="6"/>
        <v/>
      </c>
      <c r="AX113" s="1" t="str">
        <f t="shared" si="7"/>
        <v/>
      </c>
      <c r="AY113" s="1" t="str">
        <f t="shared" si="8"/>
        <v/>
      </c>
      <c r="AZ113" s="1" t="str">
        <f t="shared" si="9"/>
        <v/>
      </c>
    </row>
    <row r="114" ht="15.75" customHeight="1">
      <c r="AR114" s="1" t="str">
        <f t="shared" si="1"/>
        <v/>
      </c>
      <c r="AS114" s="1" t="str">
        <f t="shared" si="2"/>
        <v/>
      </c>
      <c r="AT114" s="1" t="str">
        <f t="shared" si="3"/>
        <v/>
      </c>
      <c r="AU114" s="1" t="str">
        <f t="shared" si="4"/>
        <v/>
      </c>
      <c r="AV114" s="1" t="str">
        <f t="shared" si="5"/>
        <v/>
      </c>
      <c r="AW114" s="1" t="str">
        <f t="shared" si="6"/>
        <v/>
      </c>
      <c r="AX114" s="1" t="str">
        <f t="shared" si="7"/>
        <v/>
      </c>
      <c r="AY114" s="1" t="str">
        <f t="shared" si="8"/>
        <v/>
      </c>
      <c r="AZ114" s="1" t="str">
        <f t="shared" si="9"/>
        <v/>
      </c>
    </row>
    <row r="115" ht="15.75" customHeight="1">
      <c r="AR115" s="1" t="str">
        <f t="shared" si="1"/>
        <v/>
      </c>
      <c r="AS115" s="1" t="str">
        <f t="shared" si="2"/>
        <v/>
      </c>
      <c r="AT115" s="1" t="str">
        <f t="shared" si="3"/>
        <v/>
      </c>
      <c r="AU115" s="1" t="str">
        <f t="shared" si="4"/>
        <v/>
      </c>
      <c r="AV115" s="1" t="str">
        <f t="shared" si="5"/>
        <v/>
      </c>
      <c r="AW115" s="1" t="str">
        <f t="shared" si="6"/>
        <v/>
      </c>
      <c r="AX115" s="1" t="str">
        <f t="shared" si="7"/>
        <v/>
      </c>
      <c r="AY115" s="1" t="str">
        <f t="shared" si="8"/>
        <v/>
      </c>
      <c r="AZ115" s="1" t="str">
        <f t="shared" si="9"/>
        <v/>
      </c>
    </row>
    <row r="116" ht="15.75" customHeight="1">
      <c r="AR116" s="1" t="str">
        <f t="shared" si="1"/>
        <v/>
      </c>
      <c r="AS116" s="1" t="str">
        <f t="shared" si="2"/>
        <v/>
      </c>
      <c r="AT116" s="1" t="str">
        <f t="shared" si="3"/>
        <v/>
      </c>
      <c r="AU116" s="1" t="str">
        <f t="shared" si="4"/>
        <v/>
      </c>
      <c r="AV116" s="1" t="str">
        <f t="shared" si="5"/>
        <v/>
      </c>
      <c r="AW116" s="1" t="str">
        <f t="shared" si="6"/>
        <v/>
      </c>
      <c r="AX116" s="1" t="str">
        <f t="shared" si="7"/>
        <v/>
      </c>
      <c r="AY116" s="1" t="str">
        <f t="shared" si="8"/>
        <v/>
      </c>
      <c r="AZ116" s="1" t="str">
        <f t="shared" si="9"/>
        <v/>
      </c>
    </row>
    <row r="117" ht="15.75" customHeight="1">
      <c r="AR117" s="1" t="str">
        <f t="shared" si="1"/>
        <v/>
      </c>
      <c r="AS117" s="1" t="str">
        <f t="shared" si="2"/>
        <v/>
      </c>
      <c r="AT117" s="1" t="str">
        <f t="shared" si="3"/>
        <v/>
      </c>
      <c r="AU117" s="1" t="str">
        <f t="shared" si="4"/>
        <v/>
      </c>
      <c r="AV117" s="1" t="str">
        <f t="shared" si="5"/>
        <v/>
      </c>
      <c r="AW117" s="1" t="str">
        <f t="shared" si="6"/>
        <v/>
      </c>
      <c r="AX117" s="1" t="str">
        <f t="shared" si="7"/>
        <v/>
      </c>
      <c r="AY117" s="1" t="str">
        <f t="shared" si="8"/>
        <v/>
      </c>
      <c r="AZ117" s="1" t="str">
        <f t="shared" si="9"/>
        <v/>
      </c>
    </row>
    <row r="118" ht="15.75" customHeight="1">
      <c r="AR118" s="1" t="str">
        <f t="shared" si="1"/>
        <v/>
      </c>
      <c r="AS118" s="1" t="str">
        <f t="shared" si="2"/>
        <v/>
      </c>
      <c r="AT118" s="1" t="str">
        <f t="shared" si="3"/>
        <v/>
      </c>
      <c r="AU118" s="1" t="str">
        <f t="shared" si="4"/>
        <v/>
      </c>
      <c r="AV118" s="1" t="str">
        <f t="shared" si="5"/>
        <v/>
      </c>
      <c r="AW118" s="1" t="str">
        <f t="shared" si="6"/>
        <v/>
      </c>
      <c r="AX118" s="1" t="str">
        <f t="shared" si="7"/>
        <v/>
      </c>
      <c r="AY118" s="1" t="str">
        <f t="shared" si="8"/>
        <v/>
      </c>
      <c r="AZ118" s="1" t="str">
        <f t="shared" si="9"/>
        <v/>
      </c>
    </row>
    <row r="119" ht="15.75" customHeight="1">
      <c r="AR119" s="1" t="str">
        <f t="shared" si="1"/>
        <v/>
      </c>
      <c r="AS119" s="1" t="str">
        <f t="shared" si="2"/>
        <v/>
      </c>
      <c r="AT119" s="1" t="str">
        <f t="shared" si="3"/>
        <v/>
      </c>
      <c r="AU119" s="1" t="str">
        <f t="shared" si="4"/>
        <v/>
      </c>
      <c r="AV119" s="1" t="str">
        <f t="shared" si="5"/>
        <v/>
      </c>
      <c r="AW119" s="1" t="str">
        <f t="shared" si="6"/>
        <v/>
      </c>
      <c r="AX119" s="1" t="str">
        <f t="shared" si="7"/>
        <v/>
      </c>
      <c r="AY119" s="1" t="str">
        <f t="shared" si="8"/>
        <v/>
      </c>
      <c r="AZ119" s="1" t="str">
        <f t="shared" si="9"/>
        <v/>
      </c>
    </row>
    <row r="120" ht="15.75" customHeight="1">
      <c r="AR120" s="1" t="str">
        <f t="shared" si="1"/>
        <v/>
      </c>
      <c r="AS120" s="1" t="str">
        <f t="shared" si="2"/>
        <v/>
      </c>
      <c r="AT120" s="1" t="str">
        <f t="shared" si="3"/>
        <v/>
      </c>
      <c r="AU120" s="1" t="str">
        <f t="shared" si="4"/>
        <v/>
      </c>
      <c r="AV120" s="1" t="str">
        <f t="shared" si="5"/>
        <v/>
      </c>
      <c r="AW120" s="1" t="str">
        <f t="shared" si="6"/>
        <v/>
      </c>
      <c r="AX120" s="1" t="str">
        <f t="shared" si="7"/>
        <v/>
      </c>
      <c r="AY120" s="1" t="str">
        <f t="shared" si="8"/>
        <v/>
      </c>
      <c r="AZ120" s="1" t="str">
        <f t="shared" si="9"/>
        <v/>
      </c>
    </row>
    <row r="121" ht="15.75" customHeight="1">
      <c r="AR121" s="1" t="str">
        <f t="shared" si="1"/>
        <v/>
      </c>
      <c r="AS121" s="1" t="str">
        <f t="shared" si="2"/>
        <v/>
      </c>
      <c r="AT121" s="1" t="str">
        <f t="shared" si="3"/>
        <v/>
      </c>
      <c r="AU121" s="1" t="str">
        <f t="shared" si="4"/>
        <v/>
      </c>
      <c r="AV121" s="1" t="str">
        <f t="shared" si="5"/>
        <v/>
      </c>
      <c r="AW121" s="1" t="str">
        <f t="shared" si="6"/>
        <v/>
      </c>
      <c r="AX121" s="1" t="str">
        <f t="shared" si="7"/>
        <v/>
      </c>
      <c r="AY121" s="1" t="str">
        <f t="shared" si="8"/>
        <v/>
      </c>
      <c r="AZ121" s="1" t="str">
        <f t="shared" si="9"/>
        <v/>
      </c>
    </row>
    <row r="122" ht="15.75" customHeight="1">
      <c r="AR122" s="1" t="str">
        <f t="shared" si="1"/>
        <v/>
      </c>
      <c r="AS122" s="1" t="str">
        <f t="shared" si="2"/>
        <v/>
      </c>
      <c r="AT122" s="1" t="str">
        <f t="shared" si="3"/>
        <v/>
      </c>
      <c r="AU122" s="1" t="str">
        <f t="shared" si="4"/>
        <v/>
      </c>
      <c r="AV122" s="1" t="str">
        <f t="shared" si="5"/>
        <v/>
      </c>
      <c r="AW122" s="1" t="str">
        <f t="shared" si="6"/>
        <v/>
      </c>
      <c r="AX122" s="1" t="str">
        <f t="shared" si="7"/>
        <v/>
      </c>
      <c r="AY122" s="1" t="str">
        <f t="shared" si="8"/>
        <v/>
      </c>
      <c r="AZ122" s="1" t="str">
        <f t="shared" si="9"/>
        <v/>
      </c>
    </row>
    <row r="123" ht="15.75" customHeight="1">
      <c r="AR123" s="1" t="str">
        <f t="shared" si="1"/>
        <v/>
      </c>
      <c r="AS123" s="1" t="str">
        <f t="shared" si="2"/>
        <v/>
      </c>
      <c r="AT123" s="1" t="str">
        <f t="shared" si="3"/>
        <v/>
      </c>
      <c r="AU123" s="1" t="str">
        <f t="shared" si="4"/>
        <v/>
      </c>
      <c r="AV123" s="1" t="str">
        <f t="shared" si="5"/>
        <v/>
      </c>
      <c r="AW123" s="1" t="str">
        <f t="shared" si="6"/>
        <v/>
      </c>
      <c r="AX123" s="1" t="str">
        <f t="shared" si="7"/>
        <v/>
      </c>
      <c r="AY123" s="1" t="str">
        <f t="shared" si="8"/>
        <v/>
      </c>
      <c r="AZ123" s="1" t="str">
        <f t="shared" si="9"/>
        <v/>
      </c>
    </row>
    <row r="124" ht="15.75" customHeight="1">
      <c r="AR124" s="1" t="str">
        <f t="shared" si="1"/>
        <v/>
      </c>
      <c r="AS124" s="1" t="str">
        <f t="shared" si="2"/>
        <v/>
      </c>
      <c r="AT124" s="1" t="str">
        <f t="shared" si="3"/>
        <v/>
      </c>
      <c r="AU124" s="1" t="str">
        <f t="shared" si="4"/>
        <v/>
      </c>
      <c r="AV124" s="1" t="str">
        <f t="shared" si="5"/>
        <v/>
      </c>
      <c r="AW124" s="1" t="str">
        <f t="shared" si="6"/>
        <v/>
      </c>
      <c r="AX124" s="1" t="str">
        <f t="shared" si="7"/>
        <v/>
      </c>
      <c r="AY124" s="1" t="str">
        <f t="shared" si="8"/>
        <v/>
      </c>
      <c r="AZ124" s="1" t="str">
        <f t="shared" si="9"/>
        <v/>
      </c>
    </row>
    <row r="125" ht="15.75" customHeight="1">
      <c r="AR125" s="1" t="str">
        <f t="shared" si="1"/>
        <v/>
      </c>
      <c r="AS125" s="1" t="str">
        <f t="shared" si="2"/>
        <v/>
      </c>
      <c r="AT125" s="1" t="str">
        <f t="shared" si="3"/>
        <v/>
      </c>
      <c r="AU125" s="1" t="str">
        <f t="shared" si="4"/>
        <v/>
      </c>
      <c r="AV125" s="1" t="str">
        <f t="shared" si="5"/>
        <v/>
      </c>
      <c r="AW125" s="1" t="str">
        <f t="shared" si="6"/>
        <v/>
      </c>
      <c r="AX125" s="1" t="str">
        <f t="shared" si="7"/>
        <v/>
      </c>
      <c r="AY125" s="1" t="str">
        <f t="shared" si="8"/>
        <v/>
      </c>
      <c r="AZ125" s="1" t="str">
        <f t="shared" si="9"/>
        <v/>
      </c>
    </row>
    <row r="126" ht="15.75" customHeight="1">
      <c r="AR126" s="1" t="str">
        <f t="shared" si="1"/>
        <v/>
      </c>
      <c r="AS126" s="1" t="str">
        <f t="shared" si="2"/>
        <v/>
      </c>
      <c r="AT126" s="1" t="str">
        <f t="shared" si="3"/>
        <v/>
      </c>
      <c r="AU126" s="1" t="str">
        <f t="shared" si="4"/>
        <v/>
      </c>
      <c r="AV126" s="1" t="str">
        <f t="shared" si="5"/>
        <v/>
      </c>
      <c r="AW126" s="1" t="str">
        <f t="shared" si="6"/>
        <v/>
      </c>
      <c r="AX126" s="1" t="str">
        <f t="shared" si="7"/>
        <v/>
      </c>
      <c r="AY126" s="1" t="str">
        <f t="shared" si="8"/>
        <v/>
      </c>
      <c r="AZ126" s="1" t="str">
        <f t="shared" si="9"/>
        <v/>
      </c>
    </row>
    <row r="127" ht="15.75" customHeight="1">
      <c r="AR127" s="1" t="str">
        <f t="shared" si="1"/>
        <v/>
      </c>
      <c r="AS127" s="1" t="str">
        <f t="shared" si="2"/>
        <v/>
      </c>
      <c r="AT127" s="1" t="str">
        <f t="shared" si="3"/>
        <v/>
      </c>
      <c r="AU127" s="1" t="str">
        <f t="shared" si="4"/>
        <v/>
      </c>
      <c r="AV127" s="1" t="str">
        <f t="shared" si="5"/>
        <v/>
      </c>
      <c r="AW127" s="1" t="str">
        <f t="shared" si="6"/>
        <v/>
      </c>
      <c r="AX127" s="1" t="str">
        <f t="shared" si="7"/>
        <v/>
      </c>
      <c r="AY127" s="1" t="str">
        <f t="shared" si="8"/>
        <v/>
      </c>
      <c r="AZ127" s="1" t="str">
        <f t="shared" si="9"/>
        <v/>
      </c>
    </row>
    <row r="128" ht="15.75" customHeight="1">
      <c r="AR128" s="1" t="str">
        <f t="shared" si="1"/>
        <v/>
      </c>
      <c r="AS128" s="1" t="str">
        <f t="shared" si="2"/>
        <v/>
      </c>
      <c r="AT128" s="1" t="str">
        <f t="shared" si="3"/>
        <v/>
      </c>
      <c r="AU128" s="1" t="str">
        <f t="shared" si="4"/>
        <v/>
      </c>
      <c r="AV128" s="1" t="str">
        <f t="shared" si="5"/>
        <v/>
      </c>
      <c r="AW128" s="1" t="str">
        <f t="shared" si="6"/>
        <v/>
      </c>
      <c r="AX128" s="1" t="str">
        <f t="shared" si="7"/>
        <v/>
      </c>
      <c r="AY128" s="1" t="str">
        <f t="shared" si="8"/>
        <v/>
      </c>
      <c r="AZ128" s="1" t="str">
        <f t="shared" si="9"/>
        <v/>
      </c>
    </row>
    <row r="129" ht="15.75" customHeight="1">
      <c r="AR129" s="1" t="str">
        <f t="shared" si="1"/>
        <v/>
      </c>
      <c r="AS129" s="1" t="str">
        <f t="shared" si="2"/>
        <v/>
      </c>
      <c r="AT129" s="1" t="str">
        <f t="shared" si="3"/>
        <v/>
      </c>
      <c r="AU129" s="1" t="str">
        <f t="shared" si="4"/>
        <v/>
      </c>
      <c r="AV129" s="1" t="str">
        <f t="shared" si="5"/>
        <v/>
      </c>
      <c r="AW129" s="1" t="str">
        <f t="shared" si="6"/>
        <v/>
      </c>
      <c r="AX129" s="1" t="str">
        <f t="shared" si="7"/>
        <v/>
      </c>
      <c r="AY129" s="1" t="str">
        <f t="shared" si="8"/>
        <v/>
      </c>
      <c r="AZ129" s="1" t="str">
        <f t="shared" si="9"/>
        <v/>
      </c>
    </row>
    <row r="130" ht="15.75" customHeight="1">
      <c r="AR130" s="1" t="str">
        <f t="shared" si="1"/>
        <v/>
      </c>
      <c r="AS130" s="1" t="str">
        <f t="shared" si="2"/>
        <v/>
      </c>
      <c r="AT130" s="1" t="str">
        <f t="shared" si="3"/>
        <v/>
      </c>
      <c r="AU130" s="1" t="str">
        <f t="shared" si="4"/>
        <v/>
      </c>
      <c r="AV130" s="1" t="str">
        <f t="shared" si="5"/>
        <v/>
      </c>
      <c r="AW130" s="1" t="str">
        <f t="shared" si="6"/>
        <v/>
      </c>
      <c r="AX130" s="1" t="str">
        <f t="shared" si="7"/>
        <v/>
      </c>
      <c r="AY130" s="1" t="str">
        <f t="shared" si="8"/>
        <v/>
      </c>
      <c r="AZ130" s="1" t="str">
        <f t="shared" si="9"/>
        <v/>
      </c>
    </row>
    <row r="131" ht="15.75" customHeight="1">
      <c r="AR131" s="1" t="str">
        <f t="shared" si="1"/>
        <v/>
      </c>
      <c r="AS131" s="1" t="str">
        <f t="shared" si="2"/>
        <v/>
      </c>
      <c r="AT131" s="1" t="str">
        <f t="shared" si="3"/>
        <v/>
      </c>
      <c r="AU131" s="1" t="str">
        <f t="shared" si="4"/>
        <v/>
      </c>
      <c r="AV131" s="1" t="str">
        <f t="shared" si="5"/>
        <v/>
      </c>
      <c r="AW131" s="1" t="str">
        <f t="shared" si="6"/>
        <v/>
      </c>
      <c r="AX131" s="1" t="str">
        <f t="shared" si="7"/>
        <v/>
      </c>
      <c r="AY131" s="1" t="str">
        <f t="shared" si="8"/>
        <v/>
      </c>
      <c r="AZ131" s="1" t="str">
        <f t="shared" si="9"/>
        <v/>
      </c>
    </row>
    <row r="132" ht="15.75" customHeight="1">
      <c r="AR132" s="1" t="str">
        <f t="shared" si="1"/>
        <v/>
      </c>
      <c r="AS132" s="1" t="str">
        <f t="shared" si="2"/>
        <v/>
      </c>
      <c r="AT132" s="1" t="str">
        <f t="shared" si="3"/>
        <v/>
      </c>
      <c r="AU132" s="1" t="str">
        <f t="shared" si="4"/>
        <v/>
      </c>
      <c r="AV132" s="1" t="str">
        <f t="shared" si="5"/>
        <v/>
      </c>
      <c r="AW132" s="1" t="str">
        <f t="shared" si="6"/>
        <v/>
      </c>
      <c r="AX132" s="1" t="str">
        <f t="shared" si="7"/>
        <v/>
      </c>
      <c r="AY132" s="1" t="str">
        <f t="shared" si="8"/>
        <v/>
      </c>
      <c r="AZ132" s="1" t="str">
        <f t="shared" si="9"/>
        <v/>
      </c>
    </row>
    <row r="133" ht="15.75" customHeight="1">
      <c r="AR133" s="1" t="str">
        <f t="shared" si="1"/>
        <v/>
      </c>
      <c r="AS133" s="1" t="str">
        <f t="shared" si="2"/>
        <v/>
      </c>
      <c r="AT133" s="1" t="str">
        <f t="shared" si="3"/>
        <v/>
      </c>
      <c r="AU133" s="1" t="str">
        <f t="shared" si="4"/>
        <v/>
      </c>
      <c r="AV133" s="1" t="str">
        <f t="shared" si="5"/>
        <v/>
      </c>
      <c r="AW133" s="1" t="str">
        <f t="shared" si="6"/>
        <v/>
      </c>
      <c r="AX133" s="1" t="str">
        <f t="shared" si="7"/>
        <v/>
      </c>
      <c r="AY133" s="1" t="str">
        <f t="shared" si="8"/>
        <v/>
      </c>
      <c r="AZ133" s="1" t="str">
        <f t="shared" si="9"/>
        <v/>
      </c>
    </row>
    <row r="134" ht="15.75" customHeight="1">
      <c r="AR134" s="1" t="str">
        <f t="shared" si="1"/>
        <v/>
      </c>
      <c r="AS134" s="1" t="str">
        <f t="shared" si="2"/>
        <v/>
      </c>
      <c r="AT134" s="1" t="str">
        <f t="shared" si="3"/>
        <v/>
      </c>
      <c r="AU134" s="1" t="str">
        <f t="shared" si="4"/>
        <v/>
      </c>
      <c r="AV134" s="1" t="str">
        <f t="shared" si="5"/>
        <v/>
      </c>
      <c r="AW134" s="1" t="str">
        <f t="shared" si="6"/>
        <v/>
      </c>
      <c r="AX134" s="1" t="str">
        <f t="shared" si="7"/>
        <v/>
      </c>
      <c r="AY134" s="1" t="str">
        <f t="shared" si="8"/>
        <v/>
      </c>
      <c r="AZ134" s="1" t="str">
        <f t="shared" si="9"/>
        <v/>
      </c>
    </row>
    <row r="135" ht="15.75" customHeight="1">
      <c r="AR135" s="1" t="str">
        <f t="shared" si="1"/>
        <v/>
      </c>
      <c r="AS135" s="1" t="str">
        <f t="shared" si="2"/>
        <v/>
      </c>
      <c r="AT135" s="1" t="str">
        <f t="shared" si="3"/>
        <v/>
      </c>
      <c r="AU135" s="1" t="str">
        <f t="shared" si="4"/>
        <v/>
      </c>
      <c r="AV135" s="1" t="str">
        <f t="shared" si="5"/>
        <v/>
      </c>
      <c r="AW135" s="1" t="str">
        <f t="shared" si="6"/>
        <v/>
      </c>
      <c r="AX135" s="1" t="str">
        <f t="shared" si="7"/>
        <v/>
      </c>
      <c r="AY135" s="1" t="str">
        <f t="shared" si="8"/>
        <v/>
      </c>
      <c r="AZ135" s="1" t="str">
        <f t="shared" si="9"/>
        <v/>
      </c>
    </row>
    <row r="136" ht="15.75" customHeight="1">
      <c r="AR136" s="1" t="str">
        <f t="shared" si="1"/>
        <v/>
      </c>
      <c r="AS136" s="1" t="str">
        <f t="shared" si="2"/>
        <v/>
      </c>
      <c r="AT136" s="1" t="str">
        <f t="shared" si="3"/>
        <v/>
      </c>
      <c r="AU136" s="1" t="str">
        <f t="shared" si="4"/>
        <v/>
      </c>
      <c r="AV136" s="1" t="str">
        <f t="shared" si="5"/>
        <v/>
      </c>
      <c r="AW136" s="1" t="str">
        <f t="shared" si="6"/>
        <v/>
      </c>
      <c r="AX136" s="1" t="str">
        <f t="shared" si="7"/>
        <v/>
      </c>
      <c r="AY136" s="1" t="str">
        <f t="shared" si="8"/>
        <v/>
      </c>
      <c r="AZ136" s="1" t="str">
        <f t="shared" si="9"/>
        <v/>
      </c>
    </row>
    <row r="137" ht="15.75" customHeight="1">
      <c r="AR137" s="1" t="str">
        <f t="shared" si="1"/>
        <v/>
      </c>
      <c r="AS137" s="1" t="str">
        <f t="shared" si="2"/>
        <v/>
      </c>
      <c r="AT137" s="1" t="str">
        <f t="shared" si="3"/>
        <v/>
      </c>
      <c r="AU137" s="1" t="str">
        <f t="shared" si="4"/>
        <v/>
      </c>
      <c r="AV137" s="1" t="str">
        <f t="shared" si="5"/>
        <v/>
      </c>
      <c r="AW137" s="1" t="str">
        <f t="shared" si="6"/>
        <v/>
      </c>
      <c r="AX137" s="1" t="str">
        <f t="shared" si="7"/>
        <v/>
      </c>
      <c r="AY137" s="1" t="str">
        <f t="shared" si="8"/>
        <v/>
      </c>
      <c r="AZ137" s="1" t="str">
        <f t="shared" si="9"/>
        <v/>
      </c>
    </row>
    <row r="138" ht="15.75" customHeight="1">
      <c r="AR138" s="1" t="str">
        <f t="shared" si="1"/>
        <v/>
      </c>
      <c r="AS138" s="1" t="str">
        <f t="shared" si="2"/>
        <v/>
      </c>
      <c r="AT138" s="1" t="str">
        <f t="shared" si="3"/>
        <v/>
      </c>
      <c r="AU138" s="1" t="str">
        <f t="shared" si="4"/>
        <v/>
      </c>
      <c r="AV138" s="1" t="str">
        <f t="shared" si="5"/>
        <v/>
      </c>
      <c r="AW138" s="1" t="str">
        <f t="shared" si="6"/>
        <v/>
      </c>
      <c r="AX138" s="1" t="str">
        <f t="shared" si="7"/>
        <v/>
      </c>
      <c r="AY138" s="1" t="str">
        <f t="shared" si="8"/>
        <v/>
      </c>
      <c r="AZ138" s="1" t="str">
        <f t="shared" si="9"/>
        <v/>
      </c>
    </row>
    <row r="139" ht="15.75" customHeight="1">
      <c r="AR139" s="1" t="str">
        <f t="shared" si="1"/>
        <v/>
      </c>
      <c r="AS139" s="1" t="str">
        <f t="shared" si="2"/>
        <v/>
      </c>
      <c r="AT139" s="1" t="str">
        <f t="shared" si="3"/>
        <v/>
      </c>
      <c r="AU139" s="1" t="str">
        <f t="shared" si="4"/>
        <v/>
      </c>
      <c r="AV139" s="1" t="str">
        <f t="shared" si="5"/>
        <v/>
      </c>
      <c r="AW139" s="1" t="str">
        <f t="shared" si="6"/>
        <v/>
      </c>
      <c r="AX139" s="1" t="str">
        <f t="shared" si="7"/>
        <v/>
      </c>
      <c r="AY139" s="1" t="str">
        <f t="shared" si="8"/>
        <v/>
      </c>
      <c r="AZ139" s="1" t="str">
        <f t="shared" si="9"/>
        <v/>
      </c>
    </row>
    <row r="140" ht="15.75" customHeight="1">
      <c r="AR140" s="1" t="str">
        <f t="shared" si="1"/>
        <v/>
      </c>
      <c r="AS140" s="1" t="str">
        <f t="shared" si="2"/>
        <v/>
      </c>
      <c r="AT140" s="1" t="str">
        <f t="shared" si="3"/>
        <v/>
      </c>
      <c r="AU140" s="1" t="str">
        <f t="shared" si="4"/>
        <v/>
      </c>
      <c r="AV140" s="1" t="str">
        <f t="shared" si="5"/>
        <v/>
      </c>
      <c r="AW140" s="1" t="str">
        <f t="shared" si="6"/>
        <v/>
      </c>
      <c r="AX140" s="1" t="str">
        <f t="shared" si="7"/>
        <v/>
      </c>
      <c r="AY140" s="1" t="str">
        <f t="shared" si="8"/>
        <v/>
      </c>
      <c r="AZ140" s="1" t="str">
        <f t="shared" si="9"/>
        <v/>
      </c>
    </row>
    <row r="141" ht="15.75" customHeight="1">
      <c r="AR141" s="1" t="str">
        <f t="shared" si="1"/>
        <v/>
      </c>
      <c r="AS141" s="1" t="str">
        <f t="shared" si="2"/>
        <v/>
      </c>
      <c r="AT141" s="1" t="str">
        <f t="shared" si="3"/>
        <v/>
      </c>
      <c r="AU141" s="1" t="str">
        <f t="shared" si="4"/>
        <v/>
      </c>
      <c r="AV141" s="1" t="str">
        <f t="shared" si="5"/>
        <v/>
      </c>
      <c r="AW141" s="1" t="str">
        <f t="shared" si="6"/>
        <v/>
      </c>
      <c r="AX141" s="1" t="str">
        <f t="shared" si="7"/>
        <v/>
      </c>
      <c r="AY141" s="1" t="str">
        <f t="shared" si="8"/>
        <v/>
      </c>
      <c r="AZ141" s="1" t="str">
        <f t="shared" si="9"/>
        <v/>
      </c>
    </row>
    <row r="142" ht="15.75" customHeight="1">
      <c r="AR142" s="1" t="str">
        <f t="shared" si="1"/>
        <v/>
      </c>
      <c r="AS142" s="1" t="str">
        <f t="shared" si="2"/>
        <v/>
      </c>
      <c r="AT142" s="1" t="str">
        <f t="shared" si="3"/>
        <v/>
      </c>
      <c r="AU142" s="1" t="str">
        <f t="shared" si="4"/>
        <v/>
      </c>
      <c r="AV142" s="1" t="str">
        <f t="shared" si="5"/>
        <v/>
      </c>
      <c r="AW142" s="1" t="str">
        <f t="shared" si="6"/>
        <v/>
      </c>
      <c r="AX142" s="1" t="str">
        <f t="shared" si="7"/>
        <v/>
      </c>
      <c r="AY142" s="1" t="str">
        <f t="shared" si="8"/>
        <v/>
      </c>
      <c r="AZ142" s="1" t="str">
        <f t="shared" si="9"/>
        <v/>
      </c>
    </row>
    <row r="143" ht="15.75" customHeight="1">
      <c r="AR143" s="1" t="str">
        <f t="shared" si="1"/>
        <v/>
      </c>
      <c r="AS143" s="1" t="str">
        <f t="shared" si="2"/>
        <v/>
      </c>
      <c r="AT143" s="1" t="str">
        <f t="shared" si="3"/>
        <v/>
      </c>
      <c r="AU143" s="1" t="str">
        <f t="shared" si="4"/>
        <v/>
      </c>
      <c r="AV143" s="1" t="str">
        <f t="shared" si="5"/>
        <v/>
      </c>
      <c r="AW143" s="1" t="str">
        <f t="shared" si="6"/>
        <v/>
      </c>
      <c r="AX143" s="1" t="str">
        <f t="shared" si="7"/>
        <v/>
      </c>
      <c r="AY143" s="1" t="str">
        <f t="shared" si="8"/>
        <v/>
      </c>
      <c r="AZ143" s="1" t="str">
        <f t="shared" si="9"/>
        <v/>
      </c>
    </row>
    <row r="144" ht="15.75" customHeight="1">
      <c r="AR144" s="1" t="str">
        <f t="shared" si="1"/>
        <v/>
      </c>
      <c r="AS144" s="1" t="str">
        <f t="shared" si="2"/>
        <v/>
      </c>
      <c r="AT144" s="1" t="str">
        <f t="shared" si="3"/>
        <v/>
      </c>
      <c r="AU144" s="1" t="str">
        <f t="shared" si="4"/>
        <v/>
      </c>
      <c r="AV144" s="1" t="str">
        <f t="shared" si="5"/>
        <v/>
      </c>
      <c r="AW144" s="1" t="str">
        <f t="shared" si="6"/>
        <v/>
      </c>
      <c r="AX144" s="1" t="str">
        <f t="shared" si="7"/>
        <v/>
      </c>
      <c r="AY144" s="1" t="str">
        <f t="shared" si="8"/>
        <v/>
      </c>
      <c r="AZ144" s="1" t="str">
        <f t="shared" si="9"/>
        <v/>
      </c>
    </row>
    <row r="145" ht="15.75" customHeight="1">
      <c r="AR145" s="1" t="str">
        <f t="shared" si="1"/>
        <v/>
      </c>
      <c r="AS145" s="1" t="str">
        <f t="shared" si="2"/>
        <v/>
      </c>
      <c r="AT145" s="1" t="str">
        <f t="shared" si="3"/>
        <v/>
      </c>
      <c r="AU145" s="1" t="str">
        <f t="shared" si="4"/>
        <v/>
      </c>
      <c r="AV145" s="1" t="str">
        <f t="shared" si="5"/>
        <v/>
      </c>
      <c r="AW145" s="1" t="str">
        <f t="shared" si="6"/>
        <v/>
      </c>
      <c r="AX145" s="1" t="str">
        <f t="shared" si="7"/>
        <v/>
      </c>
      <c r="AY145" s="1" t="str">
        <f t="shared" si="8"/>
        <v/>
      </c>
      <c r="AZ145" s="1" t="str">
        <f t="shared" si="9"/>
        <v/>
      </c>
    </row>
    <row r="146" ht="15.75" customHeight="1">
      <c r="AR146" s="1" t="str">
        <f t="shared" si="1"/>
        <v/>
      </c>
      <c r="AS146" s="1" t="str">
        <f t="shared" si="2"/>
        <v/>
      </c>
      <c r="AT146" s="1" t="str">
        <f t="shared" si="3"/>
        <v/>
      </c>
      <c r="AU146" s="1" t="str">
        <f t="shared" si="4"/>
        <v/>
      </c>
      <c r="AV146" s="1" t="str">
        <f t="shared" si="5"/>
        <v/>
      </c>
      <c r="AW146" s="1" t="str">
        <f t="shared" si="6"/>
        <v/>
      </c>
      <c r="AX146" s="1" t="str">
        <f t="shared" si="7"/>
        <v/>
      </c>
      <c r="AY146" s="1" t="str">
        <f t="shared" si="8"/>
        <v/>
      </c>
      <c r="AZ146" s="1" t="str">
        <f t="shared" si="9"/>
        <v/>
      </c>
    </row>
    <row r="147" ht="15.75" customHeight="1">
      <c r="AR147" s="1" t="str">
        <f t="shared" si="1"/>
        <v/>
      </c>
      <c r="AS147" s="1" t="str">
        <f t="shared" si="2"/>
        <v/>
      </c>
      <c r="AT147" s="1" t="str">
        <f t="shared" si="3"/>
        <v/>
      </c>
      <c r="AU147" s="1" t="str">
        <f t="shared" si="4"/>
        <v/>
      </c>
      <c r="AV147" s="1" t="str">
        <f t="shared" si="5"/>
        <v/>
      </c>
      <c r="AW147" s="1" t="str">
        <f t="shared" si="6"/>
        <v/>
      </c>
      <c r="AX147" s="1" t="str">
        <f t="shared" si="7"/>
        <v/>
      </c>
      <c r="AY147" s="1" t="str">
        <f t="shared" si="8"/>
        <v/>
      </c>
      <c r="AZ147" s="1" t="str">
        <f t="shared" si="9"/>
        <v/>
      </c>
    </row>
    <row r="148" ht="15.75" customHeight="1">
      <c r="AR148" s="1" t="str">
        <f t="shared" si="1"/>
        <v/>
      </c>
      <c r="AS148" s="1" t="str">
        <f t="shared" si="2"/>
        <v/>
      </c>
      <c r="AT148" s="1" t="str">
        <f t="shared" si="3"/>
        <v/>
      </c>
      <c r="AU148" s="1" t="str">
        <f t="shared" si="4"/>
        <v/>
      </c>
      <c r="AV148" s="1" t="str">
        <f t="shared" si="5"/>
        <v/>
      </c>
      <c r="AW148" s="1" t="str">
        <f t="shared" si="6"/>
        <v/>
      </c>
      <c r="AX148" s="1" t="str">
        <f t="shared" si="7"/>
        <v/>
      </c>
      <c r="AY148" s="1" t="str">
        <f t="shared" si="8"/>
        <v/>
      </c>
      <c r="AZ148" s="1" t="str">
        <f t="shared" si="9"/>
        <v/>
      </c>
    </row>
    <row r="149" ht="15.75" customHeight="1">
      <c r="AR149" s="1" t="str">
        <f t="shared" si="1"/>
        <v/>
      </c>
      <c r="AS149" s="1" t="str">
        <f t="shared" si="2"/>
        <v/>
      </c>
      <c r="AT149" s="1" t="str">
        <f t="shared" si="3"/>
        <v/>
      </c>
      <c r="AU149" s="1" t="str">
        <f t="shared" si="4"/>
        <v/>
      </c>
      <c r="AV149" s="1" t="str">
        <f t="shared" si="5"/>
        <v/>
      </c>
      <c r="AW149" s="1" t="str">
        <f t="shared" si="6"/>
        <v/>
      </c>
      <c r="AX149" s="1" t="str">
        <f t="shared" si="7"/>
        <v/>
      </c>
      <c r="AY149" s="1" t="str">
        <f t="shared" si="8"/>
        <v/>
      </c>
      <c r="AZ149" s="1" t="str">
        <f t="shared" si="9"/>
        <v/>
      </c>
    </row>
    <row r="150" ht="15.75" customHeight="1">
      <c r="AR150" s="1" t="str">
        <f t="shared" si="1"/>
        <v/>
      </c>
      <c r="AS150" s="1" t="str">
        <f t="shared" si="2"/>
        <v/>
      </c>
      <c r="AT150" s="1" t="str">
        <f t="shared" si="3"/>
        <v/>
      </c>
      <c r="AU150" s="1" t="str">
        <f t="shared" si="4"/>
        <v/>
      </c>
      <c r="AV150" s="1" t="str">
        <f t="shared" si="5"/>
        <v/>
      </c>
      <c r="AW150" s="1" t="str">
        <f t="shared" si="6"/>
        <v/>
      </c>
      <c r="AX150" s="1" t="str">
        <f t="shared" si="7"/>
        <v/>
      </c>
      <c r="AY150" s="1" t="str">
        <f t="shared" si="8"/>
        <v/>
      </c>
      <c r="AZ150" s="1" t="str">
        <f t="shared" si="9"/>
        <v/>
      </c>
    </row>
    <row r="151" ht="15.75" customHeight="1">
      <c r="AR151" s="1" t="str">
        <f t="shared" si="1"/>
        <v/>
      </c>
      <c r="AS151" s="1" t="str">
        <f t="shared" si="2"/>
        <v/>
      </c>
      <c r="AT151" s="1" t="str">
        <f t="shared" si="3"/>
        <v/>
      </c>
      <c r="AU151" s="1" t="str">
        <f t="shared" si="4"/>
        <v/>
      </c>
      <c r="AV151" s="1" t="str">
        <f t="shared" si="5"/>
        <v/>
      </c>
      <c r="AW151" s="1" t="str">
        <f t="shared" si="6"/>
        <v/>
      </c>
      <c r="AX151" s="1" t="str">
        <f t="shared" si="7"/>
        <v/>
      </c>
      <c r="AY151" s="1" t="str">
        <f t="shared" si="8"/>
        <v/>
      </c>
      <c r="AZ151" s="1" t="str">
        <f t="shared" si="9"/>
        <v/>
      </c>
    </row>
    <row r="152" ht="15.75" customHeight="1">
      <c r="AR152" s="1" t="str">
        <f t="shared" si="1"/>
        <v/>
      </c>
      <c r="AS152" s="1" t="str">
        <f t="shared" si="2"/>
        <v/>
      </c>
      <c r="AT152" s="1" t="str">
        <f t="shared" si="3"/>
        <v/>
      </c>
      <c r="AU152" s="1" t="str">
        <f t="shared" si="4"/>
        <v/>
      </c>
      <c r="AV152" s="1" t="str">
        <f t="shared" si="5"/>
        <v/>
      </c>
      <c r="AW152" s="1" t="str">
        <f t="shared" si="6"/>
        <v/>
      </c>
      <c r="AX152" s="1" t="str">
        <f t="shared" si="7"/>
        <v/>
      </c>
      <c r="AY152" s="1" t="str">
        <f t="shared" si="8"/>
        <v/>
      </c>
      <c r="AZ152" s="1" t="str">
        <f t="shared" si="9"/>
        <v/>
      </c>
    </row>
    <row r="153" ht="15.75" customHeight="1">
      <c r="AR153" s="1" t="str">
        <f t="shared" si="1"/>
        <v/>
      </c>
      <c r="AS153" s="1" t="str">
        <f t="shared" si="2"/>
        <v/>
      </c>
      <c r="AT153" s="1" t="str">
        <f t="shared" si="3"/>
        <v/>
      </c>
      <c r="AU153" s="1" t="str">
        <f t="shared" si="4"/>
        <v/>
      </c>
      <c r="AV153" s="1" t="str">
        <f t="shared" si="5"/>
        <v/>
      </c>
      <c r="AW153" s="1" t="str">
        <f t="shared" si="6"/>
        <v/>
      </c>
      <c r="AX153" s="1" t="str">
        <f t="shared" si="7"/>
        <v/>
      </c>
      <c r="AY153" s="1" t="str">
        <f t="shared" si="8"/>
        <v/>
      </c>
      <c r="AZ153" s="1" t="str">
        <f t="shared" si="9"/>
        <v/>
      </c>
    </row>
    <row r="154" ht="15.75" customHeight="1">
      <c r="AR154" s="1" t="str">
        <f t="shared" si="1"/>
        <v/>
      </c>
      <c r="AS154" s="1" t="str">
        <f t="shared" si="2"/>
        <v/>
      </c>
      <c r="AT154" s="1" t="str">
        <f t="shared" si="3"/>
        <v/>
      </c>
      <c r="AU154" s="1" t="str">
        <f t="shared" si="4"/>
        <v/>
      </c>
      <c r="AV154" s="1" t="str">
        <f t="shared" si="5"/>
        <v/>
      </c>
      <c r="AW154" s="1" t="str">
        <f t="shared" si="6"/>
        <v/>
      </c>
      <c r="AX154" s="1" t="str">
        <f t="shared" si="7"/>
        <v/>
      </c>
      <c r="AY154" s="1" t="str">
        <f t="shared" si="8"/>
        <v/>
      </c>
      <c r="AZ154" s="1" t="str">
        <f t="shared" si="9"/>
        <v/>
      </c>
    </row>
    <row r="155" ht="15.75" customHeight="1">
      <c r="AR155" s="1" t="str">
        <f t="shared" si="1"/>
        <v/>
      </c>
      <c r="AS155" s="1" t="str">
        <f t="shared" si="2"/>
        <v/>
      </c>
      <c r="AT155" s="1" t="str">
        <f t="shared" si="3"/>
        <v/>
      </c>
      <c r="AU155" s="1" t="str">
        <f t="shared" si="4"/>
        <v/>
      </c>
      <c r="AV155" s="1" t="str">
        <f t="shared" si="5"/>
        <v/>
      </c>
      <c r="AW155" s="1" t="str">
        <f t="shared" si="6"/>
        <v/>
      </c>
      <c r="AX155" s="1" t="str">
        <f t="shared" si="7"/>
        <v/>
      </c>
      <c r="AY155" s="1" t="str">
        <f t="shared" si="8"/>
        <v/>
      </c>
      <c r="AZ155" s="1" t="str">
        <f t="shared" si="9"/>
        <v/>
      </c>
    </row>
    <row r="156" ht="15.75" customHeight="1">
      <c r="AR156" s="1" t="str">
        <f t="shared" si="1"/>
        <v/>
      </c>
      <c r="AS156" s="1" t="str">
        <f t="shared" si="2"/>
        <v/>
      </c>
      <c r="AT156" s="1" t="str">
        <f t="shared" si="3"/>
        <v/>
      </c>
      <c r="AU156" s="1" t="str">
        <f t="shared" si="4"/>
        <v/>
      </c>
      <c r="AV156" s="1" t="str">
        <f t="shared" si="5"/>
        <v/>
      </c>
      <c r="AW156" s="1" t="str">
        <f t="shared" si="6"/>
        <v/>
      </c>
      <c r="AX156" s="1" t="str">
        <f t="shared" si="7"/>
        <v/>
      </c>
      <c r="AY156" s="1" t="str">
        <f t="shared" si="8"/>
        <v/>
      </c>
      <c r="AZ156" s="1" t="str">
        <f t="shared" si="9"/>
        <v/>
      </c>
    </row>
    <row r="157" ht="15.75" customHeight="1">
      <c r="AR157" s="1" t="str">
        <f t="shared" si="1"/>
        <v/>
      </c>
      <c r="AS157" s="1" t="str">
        <f t="shared" si="2"/>
        <v/>
      </c>
      <c r="AT157" s="1" t="str">
        <f t="shared" si="3"/>
        <v/>
      </c>
      <c r="AU157" s="1" t="str">
        <f t="shared" si="4"/>
        <v/>
      </c>
      <c r="AV157" s="1" t="str">
        <f t="shared" si="5"/>
        <v/>
      </c>
      <c r="AW157" s="1" t="str">
        <f t="shared" si="6"/>
        <v/>
      </c>
      <c r="AX157" s="1" t="str">
        <f t="shared" si="7"/>
        <v/>
      </c>
      <c r="AY157" s="1" t="str">
        <f t="shared" si="8"/>
        <v/>
      </c>
      <c r="AZ157" s="1" t="str">
        <f t="shared" si="9"/>
        <v/>
      </c>
    </row>
    <row r="158" ht="15.75" customHeight="1">
      <c r="AR158" s="1" t="str">
        <f t="shared" si="1"/>
        <v/>
      </c>
      <c r="AS158" s="1" t="str">
        <f t="shared" si="2"/>
        <v/>
      </c>
      <c r="AT158" s="1" t="str">
        <f t="shared" si="3"/>
        <v/>
      </c>
      <c r="AU158" s="1" t="str">
        <f t="shared" si="4"/>
        <v/>
      </c>
      <c r="AV158" s="1" t="str">
        <f t="shared" si="5"/>
        <v/>
      </c>
      <c r="AW158" s="1" t="str">
        <f t="shared" si="6"/>
        <v/>
      </c>
      <c r="AX158" s="1" t="str">
        <f t="shared" si="7"/>
        <v/>
      </c>
      <c r="AY158" s="1" t="str">
        <f t="shared" si="8"/>
        <v/>
      </c>
      <c r="AZ158" s="1" t="str">
        <f t="shared" si="9"/>
        <v/>
      </c>
    </row>
    <row r="159" ht="15.75" customHeight="1">
      <c r="AR159" s="1" t="str">
        <f t="shared" si="1"/>
        <v/>
      </c>
      <c r="AS159" s="1" t="str">
        <f t="shared" si="2"/>
        <v/>
      </c>
      <c r="AT159" s="1" t="str">
        <f t="shared" si="3"/>
        <v/>
      </c>
      <c r="AU159" s="1" t="str">
        <f t="shared" si="4"/>
        <v/>
      </c>
      <c r="AV159" s="1" t="str">
        <f t="shared" si="5"/>
        <v/>
      </c>
      <c r="AW159" s="1" t="str">
        <f t="shared" si="6"/>
        <v/>
      </c>
      <c r="AX159" s="1" t="str">
        <f t="shared" si="7"/>
        <v/>
      </c>
      <c r="AY159" s="1" t="str">
        <f t="shared" si="8"/>
        <v/>
      </c>
      <c r="AZ159" s="1" t="str">
        <f t="shared" si="9"/>
        <v/>
      </c>
    </row>
    <row r="160" ht="15.75" customHeight="1">
      <c r="AR160" s="1" t="str">
        <f t="shared" si="1"/>
        <v/>
      </c>
      <c r="AS160" s="1" t="str">
        <f t="shared" si="2"/>
        <v/>
      </c>
      <c r="AT160" s="1" t="str">
        <f t="shared" si="3"/>
        <v/>
      </c>
      <c r="AU160" s="1" t="str">
        <f t="shared" si="4"/>
        <v/>
      </c>
      <c r="AV160" s="1" t="str">
        <f t="shared" si="5"/>
        <v/>
      </c>
      <c r="AW160" s="1" t="str">
        <f t="shared" si="6"/>
        <v/>
      </c>
      <c r="AX160" s="1" t="str">
        <f t="shared" si="7"/>
        <v/>
      </c>
      <c r="AY160" s="1" t="str">
        <f t="shared" si="8"/>
        <v/>
      </c>
      <c r="AZ160" s="1" t="str">
        <f t="shared" si="9"/>
        <v/>
      </c>
    </row>
    <row r="161" ht="15.75" customHeight="1">
      <c r="AR161" s="1" t="str">
        <f t="shared" si="1"/>
        <v/>
      </c>
      <c r="AS161" s="1" t="str">
        <f t="shared" si="2"/>
        <v/>
      </c>
      <c r="AT161" s="1" t="str">
        <f t="shared" si="3"/>
        <v/>
      </c>
      <c r="AU161" s="1" t="str">
        <f t="shared" si="4"/>
        <v/>
      </c>
      <c r="AV161" s="1" t="str">
        <f t="shared" si="5"/>
        <v/>
      </c>
      <c r="AW161" s="1" t="str">
        <f t="shared" si="6"/>
        <v/>
      </c>
      <c r="AX161" s="1" t="str">
        <f t="shared" si="7"/>
        <v/>
      </c>
      <c r="AY161" s="1" t="str">
        <f t="shared" si="8"/>
        <v/>
      </c>
      <c r="AZ161" s="1" t="str">
        <f t="shared" si="9"/>
        <v/>
      </c>
    </row>
    <row r="162" ht="15.75" customHeight="1">
      <c r="AR162" s="1" t="str">
        <f t="shared" si="1"/>
        <v/>
      </c>
      <c r="AS162" s="1" t="str">
        <f t="shared" si="2"/>
        <v/>
      </c>
      <c r="AT162" s="1" t="str">
        <f t="shared" si="3"/>
        <v/>
      </c>
      <c r="AU162" s="1" t="str">
        <f t="shared" si="4"/>
        <v/>
      </c>
      <c r="AV162" s="1" t="str">
        <f t="shared" si="5"/>
        <v/>
      </c>
      <c r="AW162" s="1" t="str">
        <f t="shared" si="6"/>
        <v/>
      </c>
      <c r="AX162" s="1" t="str">
        <f t="shared" si="7"/>
        <v/>
      </c>
      <c r="AY162" s="1" t="str">
        <f t="shared" si="8"/>
        <v/>
      </c>
      <c r="AZ162" s="1" t="str">
        <f t="shared" si="9"/>
        <v/>
      </c>
    </row>
    <row r="163" ht="15.75" customHeight="1">
      <c r="AR163" s="1" t="str">
        <f t="shared" si="1"/>
        <v/>
      </c>
      <c r="AS163" s="1" t="str">
        <f t="shared" si="2"/>
        <v/>
      </c>
      <c r="AT163" s="1" t="str">
        <f t="shared" si="3"/>
        <v/>
      </c>
      <c r="AU163" s="1" t="str">
        <f t="shared" si="4"/>
        <v/>
      </c>
      <c r="AV163" s="1" t="str">
        <f t="shared" si="5"/>
        <v/>
      </c>
      <c r="AW163" s="1" t="str">
        <f t="shared" si="6"/>
        <v/>
      </c>
      <c r="AX163" s="1" t="str">
        <f t="shared" si="7"/>
        <v/>
      </c>
      <c r="AY163" s="1" t="str">
        <f t="shared" si="8"/>
        <v/>
      </c>
      <c r="AZ163" s="1" t="str">
        <f t="shared" si="9"/>
        <v/>
      </c>
    </row>
    <row r="164" ht="15.75" customHeight="1">
      <c r="AR164" s="1" t="str">
        <f t="shared" si="1"/>
        <v/>
      </c>
      <c r="AS164" s="1" t="str">
        <f t="shared" si="2"/>
        <v/>
      </c>
      <c r="AT164" s="1" t="str">
        <f t="shared" si="3"/>
        <v/>
      </c>
      <c r="AU164" s="1" t="str">
        <f t="shared" si="4"/>
        <v/>
      </c>
      <c r="AV164" s="1" t="str">
        <f t="shared" si="5"/>
        <v/>
      </c>
      <c r="AW164" s="1" t="str">
        <f t="shared" si="6"/>
        <v/>
      </c>
      <c r="AX164" s="1" t="str">
        <f t="shared" si="7"/>
        <v/>
      </c>
      <c r="AY164" s="1" t="str">
        <f t="shared" si="8"/>
        <v/>
      </c>
      <c r="AZ164" s="1" t="str">
        <f t="shared" si="9"/>
        <v/>
      </c>
    </row>
    <row r="165" ht="15.75" customHeight="1">
      <c r="AR165" s="1" t="str">
        <f t="shared" si="1"/>
        <v/>
      </c>
      <c r="AS165" s="1" t="str">
        <f t="shared" si="2"/>
        <v/>
      </c>
      <c r="AT165" s="1" t="str">
        <f t="shared" si="3"/>
        <v/>
      </c>
      <c r="AU165" s="1" t="str">
        <f t="shared" si="4"/>
        <v/>
      </c>
      <c r="AV165" s="1" t="str">
        <f t="shared" si="5"/>
        <v/>
      </c>
      <c r="AW165" s="1" t="str">
        <f t="shared" si="6"/>
        <v/>
      </c>
      <c r="AX165" s="1" t="str">
        <f t="shared" si="7"/>
        <v/>
      </c>
      <c r="AY165" s="1" t="str">
        <f t="shared" si="8"/>
        <v/>
      </c>
      <c r="AZ165" s="1" t="str">
        <f t="shared" si="9"/>
        <v/>
      </c>
    </row>
    <row r="166" ht="15.75" customHeight="1">
      <c r="AR166" s="1" t="str">
        <f t="shared" si="1"/>
        <v/>
      </c>
      <c r="AS166" s="1" t="str">
        <f t="shared" si="2"/>
        <v/>
      </c>
      <c r="AT166" s="1" t="str">
        <f t="shared" si="3"/>
        <v/>
      </c>
      <c r="AU166" s="1" t="str">
        <f t="shared" si="4"/>
        <v/>
      </c>
      <c r="AV166" s="1" t="str">
        <f t="shared" si="5"/>
        <v/>
      </c>
      <c r="AW166" s="1" t="str">
        <f t="shared" si="6"/>
        <v/>
      </c>
      <c r="AX166" s="1" t="str">
        <f t="shared" si="7"/>
        <v/>
      </c>
      <c r="AY166" s="1" t="str">
        <f t="shared" si="8"/>
        <v/>
      </c>
      <c r="AZ166" s="1" t="str">
        <f t="shared" si="9"/>
        <v/>
      </c>
    </row>
    <row r="167" ht="15.75" customHeight="1">
      <c r="AR167" s="1" t="str">
        <f t="shared" si="1"/>
        <v/>
      </c>
      <c r="AS167" s="1" t="str">
        <f t="shared" si="2"/>
        <v/>
      </c>
      <c r="AT167" s="1" t="str">
        <f t="shared" si="3"/>
        <v/>
      </c>
      <c r="AU167" s="1" t="str">
        <f t="shared" si="4"/>
        <v/>
      </c>
      <c r="AV167" s="1" t="str">
        <f t="shared" si="5"/>
        <v/>
      </c>
      <c r="AW167" s="1" t="str">
        <f t="shared" si="6"/>
        <v/>
      </c>
      <c r="AX167" s="1" t="str">
        <f t="shared" si="7"/>
        <v/>
      </c>
      <c r="AY167" s="1" t="str">
        <f t="shared" si="8"/>
        <v/>
      </c>
      <c r="AZ167" s="1" t="str">
        <f t="shared" si="9"/>
        <v/>
      </c>
    </row>
    <row r="168" ht="15.75" customHeight="1">
      <c r="AR168" s="1" t="str">
        <f t="shared" si="1"/>
        <v/>
      </c>
      <c r="AS168" s="1" t="str">
        <f t="shared" si="2"/>
        <v/>
      </c>
      <c r="AT168" s="1" t="str">
        <f t="shared" si="3"/>
        <v/>
      </c>
      <c r="AU168" s="1" t="str">
        <f t="shared" si="4"/>
        <v/>
      </c>
      <c r="AV168" s="1" t="str">
        <f t="shared" si="5"/>
        <v/>
      </c>
      <c r="AW168" s="1" t="str">
        <f t="shared" si="6"/>
        <v/>
      </c>
      <c r="AX168" s="1" t="str">
        <f t="shared" si="7"/>
        <v/>
      </c>
      <c r="AY168" s="1" t="str">
        <f t="shared" si="8"/>
        <v/>
      </c>
      <c r="AZ168" s="1" t="str">
        <f t="shared" si="9"/>
        <v/>
      </c>
    </row>
    <row r="169" ht="15.75" customHeight="1">
      <c r="AR169" s="1" t="str">
        <f t="shared" si="1"/>
        <v/>
      </c>
      <c r="AS169" s="1" t="str">
        <f t="shared" si="2"/>
        <v/>
      </c>
      <c r="AT169" s="1" t="str">
        <f t="shared" si="3"/>
        <v/>
      </c>
      <c r="AU169" s="1" t="str">
        <f t="shared" si="4"/>
        <v/>
      </c>
      <c r="AV169" s="1" t="str">
        <f t="shared" si="5"/>
        <v/>
      </c>
      <c r="AW169" s="1" t="str">
        <f t="shared" si="6"/>
        <v/>
      </c>
      <c r="AX169" s="1" t="str">
        <f t="shared" si="7"/>
        <v/>
      </c>
      <c r="AY169" s="1" t="str">
        <f t="shared" si="8"/>
        <v/>
      </c>
      <c r="AZ169" s="1" t="str">
        <f t="shared" si="9"/>
        <v/>
      </c>
    </row>
    <row r="170" ht="15.75" customHeight="1">
      <c r="AR170" s="1" t="str">
        <f t="shared" si="1"/>
        <v/>
      </c>
      <c r="AS170" s="1" t="str">
        <f t="shared" si="2"/>
        <v/>
      </c>
      <c r="AT170" s="1" t="str">
        <f t="shared" si="3"/>
        <v/>
      </c>
      <c r="AU170" s="1" t="str">
        <f t="shared" si="4"/>
        <v/>
      </c>
      <c r="AV170" s="1" t="str">
        <f t="shared" si="5"/>
        <v/>
      </c>
      <c r="AW170" s="1" t="str">
        <f t="shared" si="6"/>
        <v/>
      </c>
      <c r="AX170" s="1" t="str">
        <f t="shared" si="7"/>
        <v/>
      </c>
      <c r="AY170" s="1" t="str">
        <f t="shared" si="8"/>
        <v/>
      </c>
      <c r="AZ170" s="1" t="str">
        <f t="shared" si="9"/>
        <v/>
      </c>
    </row>
    <row r="171" ht="15.75" customHeight="1">
      <c r="AR171" s="1" t="str">
        <f t="shared" si="1"/>
        <v/>
      </c>
      <c r="AS171" s="1" t="str">
        <f t="shared" si="2"/>
        <v/>
      </c>
      <c r="AT171" s="1" t="str">
        <f t="shared" si="3"/>
        <v/>
      </c>
      <c r="AU171" s="1" t="str">
        <f t="shared" si="4"/>
        <v/>
      </c>
      <c r="AV171" s="1" t="str">
        <f t="shared" si="5"/>
        <v/>
      </c>
      <c r="AW171" s="1" t="str">
        <f t="shared" si="6"/>
        <v/>
      </c>
      <c r="AX171" s="1" t="str">
        <f t="shared" si="7"/>
        <v/>
      </c>
      <c r="AY171" s="1" t="str">
        <f t="shared" si="8"/>
        <v/>
      </c>
      <c r="AZ171" s="1" t="str">
        <f t="shared" si="9"/>
        <v/>
      </c>
    </row>
    <row r="172" ht="15.75" customHeight="1">
      <c r="AR172" s="1" t="str">
        <f t="shared" si="1"/>
        <v/>
      </c>
      <c r="AS172" s="1" t="str">
        <f t="shared" si="2"/>
        <v/>
      </c>
      <c r="AT172" s="1" t="str">
        <f t="shared" si="3"/>
        <v/>
      </c>
      <c r="AU172" s="1" t="str">
        <f t="shared" si="4"/>
        <v/>
      </c>
      <c r="AV172" s="1" t="str">
        <f t="shared" si="5"/>
        <v/>
      </c>
      <c r="AW172" s="1" t="str">
        <f t="shared" si="6"/>
        <v/>
      </c>
      <c r="AX172" s="1" t="str">
        <f t="shared" si="7"/>
        <v/>
      </c>
      <c r="AY172" s="1" t="str">
        <f t="shared" si="8"/>
        <v/>
      </c>
      <c r="AZ172" s="1" t="str">
        <f t="shared" si="9"/>
        <v/>
      </c>
    </row>
    <row r="173" ht="15.75" customHeight="1">
      <c r="AR173" s="1" t="str">
        <f t="shared" si="1"/>
        <v/>
      </c>
      <c r="AS173" s="1" t="str">
        <f t="shared" si="2"/>
        <v/>
      </c>
      <c r="AT173" s="1" t="str">
        <f t="shared" si="3"/>
        <v/>
      </c>
      <c r="AU173" s="1" t="str">
        <f t="shared" si="4"/>
        <v/>
      </c>
      <c r="AV173" s="1" t="str">
        <f t="shared" si="5"/>
        <v/>
      </c>
      <c r="AW173" s="1" t="str">
        <f t="shared" si="6"/>
        <v/>
      </c>
      <c r="AX173" s="1" t="str">
        <f t="shared" si="7"/>
        <v/>
      </c>
      <c r="AY173" s="1" t="str">
        <f t="shared" si="8"/>
        <v/>
      </c>
      <c r="AZ173" s="1" t="str">
        <f t="shared" si="9"/>
        <v/>
      </c>
    </row>
    <row r="174" ht="15.75" customHeight="1">
      <c r="AR174" s="1" t="str">
        <f t="shared" si="1"/>
        <v/>
      </c>
      <c r="AS174" s="1" t="str">
        <f t="shared" si="2"/>
        <v/>
      </c>
      <c r="AT174" s="1" t="str">
        <f t="shared" si="3"/>
        <v/>
      </c>
      <c r="AU174" s="1" t="str">
        <f t="shared" si="4"/>
        <v/>
      </c>
      <c r="AV174" s="1" t="str">
        <f t="shared" si="5"/>
        <v/>
      </c>
      <c r="AW174" s="1" t="str">
        <f t="shared" si="6"/>
        <v/>
      </c>
      <c r="AX174" s="1" t="str">
        <f t="shared" si="7"/>
        <v/>
      </c>
      <c r="AY174" s="1" t="str">
        <f t="shared" si="8"/>
        <v/>
      </c>
      <c r="AZ174" s="1" t="str">
        <f t="shared" si="9"/>
        <v/>
      </c>
    </row>
    <row r="175" ht="15.75" customHeight="1">
      <c r="AR175" s="1" t="str">
        <f t="shared" si="1"/>
        <v/>
      </c>
      <c r="AS175" s="1" t="str">
        <f t="shared" si="2"/>
        <v/>
      </c>
      <c r="AT175" s="1" t="str">
        <f t="shared" si="3"/>
        <v/>
      </c>
      <c r="AU175" s="1" t="str">
        <f t="shared" si="4"/>
        <v/>
      </c>
      <c r="AV175" s="1" t="str">
        <f t="shared" si="5"/>
        <v/>
      </c>
      <c r="AW175" s="1" t="str">
        <f t="shared" si="6"/>
        <v/>
      </c>
      <c r="AX175" s="1" t="str">
        <f t="shared" si="7"/>
        <v/>
      </c>
      <c r="AY175" s="1" t="str">
        <f t="shared" si="8"/>
        <v/>
      </c>
      <c r="AZ175" s="1" t="str">
        <f t="shared" si="9"/>
        <v/>
      </c>
    </row>
    <row r="176" ht="15.75" customHeight="1">
      <c r="AR176" s="1" t="str">
        <f t="shared" si="1"/>
        <v/>
      </c>
      <c r="AS176" s="1" t="str">
        <f t="shared" si="2"/>
        <v/>
      </c>
      <c r="AT176" s="1" t="str">
        <f t="shared" si="3"/>
        <v/>
      </c>
      <c r="AU176" s="1" t="str">
        <f t="shared" si="4"/>
        <v/>
      </c>
      <c r="AV176" s="1" t="str">
        <f t="shared" si="5"/>
        <v/>
      </c>
      <c r="AW176" s="1" t="str">
        <f t="shared" si="6"/>
        <v/>
      </c>
      <c r="AX176" s="1" t="str">
        <f t="shared" si="7"/>
        <v/>
      </c>
      <c r="AY176" s="1" t="str">
        <f t="shared" si="8"/>
        <v/>
      </c>
      <c r="AZ176" s="1" t="str">
        <f t="shared" si="9"/>
        <v/>
      </c>
    </row>
    <row r="177" ht="15.75" customHeight="1">
      <c r="AR177" s="1" t="str">
        <f t="shared" si="1"/>
        <v/>
      </c>
      <c r="AS177" s="1" t="str">
        <f t="shared" si="2"/>
        <v/>
      </c>
      <c r="AT177" s="1" t="str">
        <f t="shared" si="3"/>
        <v/>
      </c>
      <c r="AU177" s="1" t="str">
        <f t="shared" si="4"/>
        <v/>
      </c>
      <c r="AV177" s="1" t="str">
        <f t="shared" si="5"/>
        <v/>
      </c>
      <c r="AW177" s="1" t="str">
        <f t="shared" si="6"/>
        <v/>
      </c>
      <c r="AX177" s="1" t="str">
        <f t="shared" si="7"/>
        <v/>
      </c>
      <c r="AY177" s="1" t="str">
        <f t="shared" si="8"/>
        <v/>
      </c>
      <c r="AZ177" s="1" t="str">
        <f t="shared" si="9"/>
        <v/>
      </c>
    </row>
    <row r="178" ht="15.75" customHeight="1">
      <c r="AR178" s="1" t="str">
        <f t="shared" si="1"/>
        <v/>
      </c>
      <c r="AS178" s="1" t="str">
        <f t="shared" si="2"/>
        <v/>
      </c>
      <c r="AT178" s="1" t="str">
        <f t="shared" si="3"/>
        <v/>
      </c>
      <c r="AU178" s="1" t="str">
        <f t="shared" si="4"/>
        <v/>
      </c>
      <c r="AV178" s="1" t="str">
        <f t="shared" si="5"/>
        <v/>
      </c>
      <c r="AW178" s="1" t="str">
        <f t="shared" si="6"/>
        <v/>
      </c>
      <c r="AX178" s="1" t="str">
        <f t="shared" si="7"/>
        <v/>
      </c>
      <c r="AY178" s="1" t="str">
        <f t="shared" si="8"/>
        <v/>
      </c>
      <c r="AZ178" s="1" t="str">
        <f t="shared" si="9"/>
        <v/>
      </c>
    </row>
    <row r="179" ht="15.75" customHeight="1">
      <c r="AR179" s="1" t="str">
        <f t="shared" si="1"/>
        <v/>
      </c>
      <c r="AS179" s="1" t="str">
        <f t="shared" si="2"/>
        <v/>
      </c>
      <c r="AT179" s="1" t="str">
        <f t="shared" si="3"/>
        <v/>
      </c>
      <c r="AU179" s="1" t="str">
        <f t="shared" si="4"/>
        <v/>
      </c>
      <c r="AV179" s="1" t="str">
        <f t="shared" si="5"/>
        <v/>
      </c>
      <c r="AW179" s="1" t="str">
        <f t="shared" si="6"/>
        <v/>
      </c>
      <c r="AX179" s="1" t="str">
        <f t="shared" si="7"/>
        <v/>
      </c>
      <c r="AY179" s="1" t="str">
        <f t="shared" si="8"/>
        <v/>
      </c>
      <c r="AZ179" s="1" t="str">
        <f t="shared" si="9"/>
        <v/>
      </c>
    </row>
    <row r="180" ht="15.75" customHeight="1">
      <c r="AR180" s="1" t="str">
        <f t="shared" si="1"/>
        <v/>
      </c>
      <c r="AS180" s="1" t="str">
        <f t="shared" si="2"/>
        <v/>
      </c>
      <c r="AT180" s="1" t="str">
        <f t="shared" si="3"/>
        <v/>
      </c>
      <c r="AU180" s="1" t="str">
        <f t="shared" si="4"/>
        <v/>
      </c>
      <c r="AV180" s="1" t="str">
        <f t="shared" si="5"/>
        <v/>
      </c>
      <c r="AW180" s="1" t="str">
        <f t="shared" si="6"/>
        <v/>
      </c>
      <c r="AX180" s="1" t="str">
        <f t="shared" si="7"/>
        <v/>
      </c>
      <c r="AY180" s="1" t="str">
        <f t="shared" si="8"/>
        <v/>
      </c>
      <c r="AZ180" s="1" t="str">
        <f t="shared" si="9"/>
        <v/>
      </c>
    </row>
    <row r="181" ht="15.75" customHeight="1">
      <c r="AR181" s="1" t="str">
        <f t="shared" si="1"/>
        <v/>
      </c>
      <c r="AS181" s="1" t="str">
        <f t="shared" si="2"/>
        <v/>
      </c>
      <c r="AT181" s="1" t="str">
        <f t="shared" si="3"/>
        <v/>
      </c>
      <c r="AU181" s="1" t="str">
        <f t="shared" si="4"/>
        <v/>
      </c>
      <c r="AV181" s="1" t="str">
        <f t="shared" si="5"/>
        <v/>
      </c>
      <c r="AW181" s="1" t="str">
        <f t="shared" si="6"/>
        <v/>
      </c>
      <c r="AX181" s="1" t="str">
        <f t="shared" si="7"/>
        <v/>
      </c>
      <c r="AY181" s="1" t="str">
        <f t="shared" si="8"/>
        <v/>
      </c>
      <c r="AZ181" s="1" t="str">
        <f t="shared" si="9"/>
        <v/>
      </c>
    </row>
    <row r="182" ht="15.75" customHeight="1">
      <c r="AR182" s="1" t="str">
        <f t="shared" si="1"/>
        <v/>
      </c>
      <c r="AS182" s="1" t="str">
        <f t="shared" si="2"/>
        <v/>
      </c>
      <c r="AT182" s="1" t="str">
        <f t="shared" si="3"/>
        <v/>
      </c>
      <c r="AU182" s="1" t="str">
        <f t="shared" si="4"/>
        <v/>
      </c>
      <c r="AV182" s="1" t="str">
        <f t="shared" si="5"/>
        <v/>
      </c>
      <c r="AW182" s="1" t="str">
        <f t="shared" si="6"/>
        <v/>
      </c>
      <c r="AX182" s="1" t="str">
        <f t="shared" si="7"/>
        <v/>
      </c>
      <c r="AY182" s="1" t="str">
        <f t="shared" si="8"/>
        <v/>
      </c>
      <c r="AZ182" s="1" t="str">
        <f t="shared" si="9"/>
        <v/>
      </c>
    </row>
    <row r="183" ht="15.75" customHeight="1">
      <c r="AR183" s="1" t="str">
        <f t="shared" si="1"/>
        <v/>
      </c>
      <c r="AS183" s="1" t="str">
        <f t="shared" si="2"/>
        <v/>
      </c>
      <c r="AT183" s="1" t="str">
        <f t="shared" si="3"/>
        <v/>
      </c>
      <c r="AU183" s="1" t="str">
        <f t="shared" si="4"/>
        <v/>
      </c>
      <c r="AV183" s="1" t="str">
        <f t="shared" si="5"/>
        <v/>
      </c>
      <c r="AW183" s="1" t="str">
        <f t="shared" si="6"/>
        <v/>
      </c>
      <c r="AX183" s="1" t="str">
        <f t="shared" si="7"/>
        <v/>
      </c>
      <c r="AY183" s="1" t="str">
        <f t="shared" si="8"/>
        <v/>
      </c>
      <c r="AZ183" s="1" t="str">
        <f t="shared" si="9"/>
        <v/>
      </c>
    </row>
    <row r="184" ht="15.75" customHeight="1">
      <c r="AR184" s="1" t="str">
        <f t="shared" si="1"/>
        <v/>
      </c>
      <c r="AS184" s="1" t="str">
        <f t="shared" si="2"/>
        <v/>
      </c>
      <c r="AT184" s="1" t="str">
        <f t="shared" si="3"/>
        <v/>
      </c>
      <c r="AU184" s="1" t="str">
        <f t="shared" si="4"/>
        <v/>
      </c>
      <c r="AV184" s="1" t="str">
        <f t="shared" si="5"/>
        <v/>
      </c>
      <c r="AW184" s="1" t="str">
        <f t="shared" si="6"/>
        <v/>
      </c>
      <c r="AX184" s="1" t="str">
        <f t="shared" si="7"/>
        <v/>
      </c>
      <c r="AY184" s="1" t="str">
        <f t="shared" si="8"/>
        <v/>
      </c>
      <c r="AZ184" s="1" t="str">
        <f t="shared" si="9"/>
        <v/>
      </c>
    </row>
    <row r="185" ht="15.75" customHeight="1">
      <c r="AR185" s="1" t="str">
        <f t="shared" si="1"/>
        <v/>
      </c>
      <c r="AS185" s="1" t="str">
        <f t="shared" si="2"/>
        <v/>
      </c>
      <c r="AT185" s="1" t="str">
        <f t="shared" si="3"/>
        <v/>
      </c>
      <c r="AU185" s="1" t="str">
        <f t="shared" si="4"/>
        <v/>
      </c>
      <c r="AV185" s="1" t="str">
        <f t="shared" si="5"/>
        <v/>
      </c>
      <c r="AW185" s="1" t="str">
        <f t="shared" si="6"/>
        <v/>
      </c>
      <c r="AX185" s="1" t="str">
        <f t="shared" si="7"/>
        <v/>
      </c>
      <c r="AY185" s="1" t="str">
        <f t="shared" si="8"/>
        <v/>
      </c>
      <c r="AZ185" s="1" t="str">
        <f t="shared" si="9"/>
        <v/>
      </c>
    </row>
    <row r="186" ht="15.75" customHeight="1">
      <c r="AR186" s="1" t="str">
        <f t="shared" si="1"/>
        <v/>
      </c>
      <c r="AS186" s="1" t="str">
        <f t="shared" si="2"/>
        <v/>
      </c>
      <c r="AT186" s="1" t="str">
        <f t="shared" si="3"/>
        <v/>
      </c>
      <c r="AU186" s="1" t="str">
        <f t="shared" si="4"/>
        <v/>
      </c>
      <c r="AV186" s="1" t="str">
        <f t="shared" si="5"/>
        <v/>
      </c>
      <c r="AW186" s="1" t="str">
        <f t="shared" si="6"/>
        <v/>
      </c>
      <c r="AX186" s="1" t="str">
        <f t="shared" si="7"/>
        <v/>
      </c>
      <c r="AY186" s="1" t="str">
        <f t="shared" si="8"/>
        <v/>
      </c>
      <c r="AZ186" s="1" t="str">
        <f t="shared" si="9"/>
        <v/>
      </c>
    </row>
    <row r="187" ht="15.75" customHeight="1">
      <c r="AR187" s="1" t="str">
        <f t="shared" si="1"/>
        <v/>
      </c>
      <c r="AS187" s="1" t="str">
        <f t="shared" si="2"/>
        <v/>
      </c>
      <c r="AT187" s="1" t="str">
        <f t="shared" si="3"/>
        <v/>
      </c>
      <c r="AU187" s="1" t="str">
        <f t="shared" si="4"/>
        <v/>
      </c>
      <c r="AV187" s="1" t="str">
        <f t="shared" si="5"/>
        <v/>
      </c>
      <c r="AW187" s="1" t="str">
        <f t="shared" si="6"/>
        <v/>
      </c>
      <c r="AX187" s="1" t="str">
        <f t="shared" si="7"/>
        <v/>
      </c>
      <c r="AY187" s="1" t="str">
        <f t="shared" si="8"/>
        <v/>
      </c>
      <c r="AZ187" s="1" t="str">
        <f t="shared" si="9"/>
        <v/>
      </c>
    </row>
    <row r="188" ht="15.75" customHeight="1">
      <c r="AR188" s="1" t="str">
        <f t="shared" si="1"/>
        <v/>
      </c>
      <c r="AS188" s="1" t="str">
        <f t="shared" si="2"/>
        <v/>
      </c>
      <c r="AT188" s="1" t="str">
        <f t="shared" si="3"/>
        <v/>
      </c>
      <c r="AU188" s="1" t="str">
        <f t="shared" si="4"/>
        <v/>
      </c>
      <c r="AV188" s="1" t="str">
        <f t="shared" si="5"/>
        <v/>
      </c>
      <c r="AW188" s="1" t="str">
        <f t="shared" si="6"/>
        <v/>
      </c>
      <c r="AX188" s="1" t="str">
        <f t="shared" si="7"/>
        <v/>
      </c>
      <c r="AY188" s="1" t="str">
        <f t="shared" si="8"/>
        <v/>
      </c>
      <c r="AZ188" s="1" t="str">
        <f t="shared" si="9"/>
        <v/>
      </c>
    </row>
    <row r="189" ht="15.75" customHeight="1">
      <c r="AR189" s="1" t="str">
        <f t="shared" si="1"/>
        <v/>
      </c>
      <c r="AS189" s="1" t="str">
        <f t="shared" si="2"/>
        <v/>
      </c>
      <c r="AT189" s="1" t="str">
        <f t="shared" si="3"/>
        <v/>
      </c>
      <c r="AU189" s="1" t="str">
        <f t="shared" si="4"/>
        <v/>
      </c>
      <c r="AV189" s="1" t="str">
        <f t="shared" si="5"/>
        <v/>
      </c>
      <c r="AW189" s="1" t="str">
        <f t="shared" si="6"/>
        <v/>
      </c>
      <c r="AX189" s="1" t="str">
        <f t="shared" si="7"/>
        <v/>
      </c>
      <c r="AY189" s="1" t="str">
        <f t="shared" si="8"/>
        <v/>
      </c>
      <c r="AZ189" s="1" t="str">
        <f t="shared" si="9"/>
        <v/>
      </c>
    </row>
    <row r="190" ht="15.75" customHeight="1">
      <c r="AR190" s="1" t="str">
        <f t="shared" si="1"/>
        <v/>
      </c>
      <c r="AS190" s="1" t="str">
        <f t="shared" si="2"/>
        <v/>
      </c>
      <c r="AT190" s="1" t="str">
        <f t="shared" si="3"/>
        <v/>
      </c>
      <c r="AU190" s="1" t="str">
        <f t="shared" si="4"/>
        <v/>
      </c>
      <c r="AV190" s="1" t="str">
        <f t="shared" si="5"/>
        <v/>
      </c>
      <c r="AW190" s="1" t="str">
        <f t="shared" si="6"/>
        <v/>
      </c>
      <c r="AX190" s="1" t="str">
        <f t="shared" si="7"/>
        <v/>
      </c>
      <c r="AY190" s="1" t="str">
        <f t="shared" si="8"/>
        <v/>
      </c>
      <c r="AZ190" s="1" t="str">
        <f t="shared" si="9"/>
        <v/>
      </c>
    </row>
    <row r="191" ht="15.75" customHeight="1">
      <c r="AR191" s="1" t="str">
        <f t="shared" si="1"/>
        <v/>
      </c>
      <c r="AS191" s="1" t="str">
        <f t="shared" si="2"/>
        <v/>
      </c>
      <c r="AT191" s="1" t="str">
        <f t="shared" si="3"/>
        <v/>
      </c>
      <c r="AU191" s="1" t="str">
        <f t="shared" si="4"/>
        <v/>
      </c>
      <c r="AV191" s="1" t="str">
        <f t="shared" si="5"/>
        <v/>
      </c>
      <c r="AW191" s="1" t="str">
        <f t="shared" si="6"/>
        <v/>
      </c>
      <c r="AX191" s="1" t="str">
        <f t="shared" si="7"/>
        <v/>
      </c>
      <c r="AY191" s="1" t="str">
        <f t="shared" si="8"/>
        <v/>
      </c>
      <c r="AZ191" s="1" t="str">
        <f t="shared" si="9"/>
        <v/>
      </c>
    </row>
    <row r="192" ht="15.75" customHeight="1">
      <c r="AR192" s="1" t="str">
        <f t="shared" si="1"/>
        <v/>
      </c>
      <c r="AS192" s="1" t="str">
        <f t="shared" si="2"/>
        <v/>
      </c>
      <c r="AT192" s="1" t="str">
        <f t="shared" si="3"/>
        <v/>
      </c>
      <c r="AU192" s="1" t="str">
        <f t="shared" si="4"/>
        <v/>
      </c>
      <c r="AV192" s="1" t="str">
        <f t="shared" si="5"/>
        <v/>
      </c>
      <c r="AW192" s="1" t="str">
        <f t="shared" si="6"/>
        <v/>
      </c>
      <c r="AX192" s="1" t="str">
        <f t="shared" si="7"/>
        <v/>
      </c>
      <c r="AY192" s="1" t="str">
        <f t="shared" si="8"/>
        <v/>
      </c>
      <c r="AZ192" s="1" t="str">
        <f t="shared" si="9"/>
        <v/>
      </c>
    </row>
    <row r="193" ht="15.75" customHeight="1">
      <c r="AR193" s="1" t="str">
        <f t="shared" si="1"/>
        <v/>
      </c>
      <c r="AS193" s="1" t="str">
        <f t="shared" si="2"/>
        <v/>
      </c>
      <c r="AT193" s="1" t="str">
        <f t="shared" si="3"/>
        <v/>
      </c>
      <c r="AU193" s="1" t="str">
        <f t="shared" si="4"/>
        <v/>
      </c>
      <c r="AV193" s="1" t="str">
        <f t="shared" si="5"/>
        <v/>
      </c>
      <c r="AW193" s="1" t="str">
        <f t="shared" si="6"/>
        <v/>
      </c>
      <c r="AX193" s="1" t="str">
        <f t="shared" si="7"/>
        <v/>
      </c>
      <c r="AY193" s="1" t="str">
        <f t="shared" si="8"/>
        <v/>
      </c>
      <c r="AZ193" s="1" t="str">
        <f t="shared" si="9"/>
        <v/>
      </c>
    </row>
    <row r="194" ht="15.75" customHeight="1">
      <c r="AR194" s="1" t="str">
        <f t="shared" si="1"/>
        <v/>
      </c>
      <c r="AS194" s="1" t="str">
        <f t="shared" si="2"/>
        <v/>
      </c>
      <c r="AT194" s="1" t="str">
        <f t="shared" si="3"/>
        <v/>
      </c>
      <c r="AU194" s="1" t="str">
        <f t="shared" si="4"/>
        <v/>
      </c>
      <c r="AV194" s="1" t="str">
        <f t="shared" si="5"/>
        <v/>
      </c>
      <c r="AW194" s="1" t="str">
        <f t="shared" si="6"/>
        <v/>
      </c>
      <c r="AX194" s="1" t="str">
        <f t="shared" si="7"/>
        <v/>
      </c>
      <c r="AY194" s="1" t="str">
        <f t="shared" si="8"/>
        <v/>
      </c>
      <c r="AZ194" s="1" t="str">
        <f t="shared" si="9"/>
        <v/>
      </c>
    </row>
    <row r="195" ht="15.75" customHeight="1">
      <c r="AR195" s="1" t="str">
        <f t="shared" si="1"/>
        <v/>
      </c>
      <c r="AS195" s="1" t="str">
        <f t="shared" si="2"/>
        <v/>
      </c>
      <c r="AT195" s="1" t="str">
        <f t="shared" si="3"/>
        <v/>
      </c>
      <c r="AU195" s="1" t="str">
        <f t="shared" si="4"/>
        <v/>
      </c>
      <c r="AV195" s="1" t="str">
        <f t="shared" si="5"/>
        <v/>
      </c>
      <c r="AW195" s="1" t="str">
        <f t="shared" si="6"/>
        <v/>
      </c>
      <c r="AX195" s="1" t="str">
        <f t="shared" si="7"/>
        <v/>
      </c>
      <c r="AY195" s="1" t="str">
        <f t="shared" si="8"/>
        <v/>
      </c>
      <c r="AZ195" s="1" t="str">
        <f t="shared" si="9"/>
        <v/>
      </c>
    </row>
    <row r="196" ht="15.75" customHeight="1">
      <c r="AR196" s="1" t="str">
        <f t="shared" si="1"/>
        <v/>
      </c>
      <c r="AS196" s="1" t="str">
        <f t="shared" si="2"/>
        <v/>
      </c>
      <c r="AT196" s="1" t="str">
        <f t="shared" si="3"/>
        <v/>
      </c>
      <c r="AU196" s="1" t="str">
        <f t="shared" si="4"/>
        <v/>
      </c>
      <c r="AV196" s="1" t="str">
        <f t="shared" si="5"/>
        <v/>
      </c>
      <c r="AW196" s="1" t="str">
        <f t="shared" si="6"/>
        <v/>
      </c>
      <c r="AX196" s="1" t="str">
        <f t="shared" si="7"/>
        <v/>
      </c>
      <c r="AY196" s="1" t="str">
        <f t="shared" si="8"/>
        <v/>
      </c>
      <c r="AZ196" s="1" t="str">
        <f t="shared" si="9"/>
        <v/>
      </c>
    </row>
    <row r="197" ht="15.75" customHeight="1">
      <c r="AR197" s="1" t="str">
        <f t="shared" si="1"/>
        <v/>
      </c>
      <c r="AS197" s="1" t="str">
        <f t="shared" si="2"/>
        <v/>
      </c>
      <c r="AT197" s="1" t="str">
        <f t="shared" si="3"/>
        <v/>
      </c>
      <c r="AU197" s="1" t="str">
        <f t="shared" si="4"/>
        <v/>
      </c>
      <c r="AV197" s="1" t="str">
        <f t="shared" si="5"/>
        <v/>
      </c>
      <c r="AW197" s="1" t="str">
        <f t="shared" si="6"/>
        <v/>
      </c>
      <c r="AX197" s="1" t="str">
        <f t="shared" si="7"/>
        <v/>
      </c>
      <c r="AY197" s="1" t="str">
        <f t="shared" si="8"/>
        <v/>
      </c>
      <c r="AZ197" s="1" t="str">
        <f t="shared" si="9"/>
        <v/>
      </c>
    </row>
    <row r="198" ht="15.75" customHeight="1">
      <c r="AR198" s="1" t="str">
        <f t="shared" si="1"/>
        <v/>
      </c>
      <c r="AS198" s="1" t="str">
        <f t="shared" si="2"/>
        <v/>
      </c>
      <c r="AT198" s="1" t="str">
        <f t="shared" si="3"/>
        <v/>
      </c>
      <c r="AU198" s="1" t="str">
        <f t="shared" si="4"/>
        <v/>
      </c>
      <c r="AV198" s="1" t="str">
        <f t="shared" si="5"/>
        <v/>
      </c>
      <c r="AW198" s="1" t="str">
        <f t="shared" si="6"/>
        <v/>
      </c>
      <c r="AX198" s="1" t="str">
        <f t="shared" si="7"/>
        <v/>
      </c>
      <c r="AY198" s="1" t="str">
        <f t="shared" si="8"/>
        <v/>
      </c>
      <c r="AZ198" s="1" t="str">
        <f t="shared" si="9"/>
        <v/>
      </c>
    </row>
    <row r="199" ht="15.75" customHeight="1">
      <c r="AR199" s="1" t="str">
        <f t="shared" si="1"/>
        <v/>
      </c>
      <c r="AS199" s="1" t="str">
        <f t="shared" si="2"/>
        <v/>
      </c>
      <c r="AT199" s="1" t="str">
        <f t="shared" si="3"/>
        <v/>
      </c>
      <c r="AU199" s="1" t="str">
        <f t="shared" si="4"/>
        <v/>
      </c>
      <c r="AV199" s="1" t="str">
        <f t="shared" si="5"/>
        <v/>
      </c>
      <c r="AW199" s="1" t="str">
        <f t="shared" si="6"/>
        <v/>
      </c>
      <c r="AX199" s="1" t="str">
        <f t="shared" si="7"/>
        <v/>
      </c>
      <c r="AY199" s="1" t="str">
        <f t="shared" si="8"/>
        <v/>
      </c>
      <c r="AZ199" s="1" t="str">
        <f t="shared" si="9"/>
        <v/>
      </c>
    </row>
    <row r="200" ht="15.75" customHeight="1">
      <c r="AR200" s="1" t="str">
        <f t="shared" si="1"/>
        <v/>
      </c>
      <c r="AS200" s="1" t="str">
        <f t="shared" si="2"/>
        <v/>
      </c>
      <c r="AT200" s="1" t="str">
        <f t="shared" si="3"/>
        <v/>
      </c>
      <c r="AU200" s="1" t="str">
        <f t="shared" si="4"/>
        <v/>
      </c>
      <c r="AV200" s="1" t="str">
        <f t="shared" si="5"/>
        <v/>
      </c>
      <c r="AW200" s="1" t="str">
        <f t="shared" si="6"/>
        <v/>
      </c>
      <c r="AX200" s="1" t="str">
        <f t="shared" si="7"/>
        <v/>
      </c>
      <c r="AY200" s="1" t="str">
        <f t="shared" si="8"/>
        <v/>
      </c>
      <c r="AZ200" s="1" t="str">
        <f t="shared" si="9"/>
        <v/>
      </c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226</v>
      </c>
      <c r="B1" s="1" t="s">
        <v>227</v>
      </c>
      <c r="C1" s="1" t="s">
        <v>229</v>
      </c>
      <c r="D1" s="1" t="s">
        <v>320</v>
      </c>
      <c r="E1" s="1" t="s">
        <v>321</v>
      </c>
      <c r="F1" s="1" t="s">
        <v>322</v>
      </c>
      <c r="G1" s="1" t="s">
        <v>323</v>
      </c>
      <c r="H1" s="1" t="s">
        <v>324</v>
      </c>
      <c r="I1" s="1" t="s">
        <v>325</v>
      </c>
      <c r="J1" s="1" t="s">
        <v>234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36</v>
      </c>
    </row>
    <row r="2">
      <c r="A2" s="1" t="s">
        <v>1</v>
      </c>
      <c r="B2" s="1" t="s">
        <v>326</v>
      </c>
    </row>
    <row r="4">
      <c r="A4" s="1" t="s">
        <v>327</v>
      </c>
      <c r="B4" s="1" t="s">
        <v>328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0" width="8.71"/>
  </cols>
  <sheetData>
    <row r="1">
      <c r="A1" s="1" t="s">
        <v>226</v>
      </c>
      <c r="B1" s="1" t="s">
        <v>227</v>
      </c>
      <c r="C1" s="1" t="s">
        <v>329</v>
      </c>
      <c r="D1" s="1" t="s">
        <v>330</v>
      </c>
      <c r="E1" s="1" t="s">
        <v>331</v>
      </c>
      <c r="F1" s="1" t="s">
        <v>332</v>
      </c>
      <c r="G1" s="1" t="s">
        <v>333</v>
      </c>
      <c r="H1" s="1" t="s">
        <v>334</v>
      </c>
      <c r="I1" s="1" t="s">
        <v>335</v>
      </c>
      <c r="J1" s="1" t="s">
        <v>336</v>
      </c>
      <c r="K1" s="1" t="s">
        <v>337</v>
      </c>
      <c r="L1" s="1" t="s">
        <v>338</v>
      </c>
      <c r="M1" s="1" t="s">
        <v>339</v>
      </c>
      <c r="N1" s="1" t="s">
        <v>340</v>
      </c>
      <c r="O1" s="1" t="s">
        <v>341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351</v>
      </c>
      <c r="Z1" s="1" t="s">
        <v>352</v>
      </c>
      <c r="AA1" s="1" t="s">
        <v>353</v>
      </c>
      <c r="AB1" s="1" t="s">
        <v>354</v>
      </c>
      <c r="AC1" s="1" t="s">
        <v>355</v>
      </c>
      <c r="AD1" s="1" t="s">
        <v>356</v>
      </c>
      <c r="AE1" s="1" t="s">
        <v>357</v>
      </c>
      <c r="AF1" s="1" t="s">
        <v>358</v>
      </c>
      <c r="AG1" s="1" t="s">
        <v>359</v>
      </c>
      <c r="AH1" s="1" t="s">
        <v>360</v>
      </c>
      <c r="AI1" s="1" t="s">
        <v>361</v>
      </c>
      <c r="AJ1" s="1" t="s">
        <v>362</v>
      </c>
      <c r="AK1" s="1" t="s">
        <v>363</v>
      </c>
      <c r="AL1" s="1" t="s">
        <v>364</v>
      </c>
      <c r="AM1" s="1" t="s">
        <v>365</v>
      </c>
      <c r="AN1" s="1" t="s">
        <v>366</v>
      </c>
    </row>
    <row r="2">
      <c r="C2" s="1" t="str">
        <f t="shared" ref="C2:D2" si="1">IFERROR(AVERAGE(F2,I2,L2,O2,R2,U2,X2,AA2,AD2),"")</f>
        <v/>
      </c>
      <c r="D2" s="1" t="str">
        <f t="shared" si="1"/>
        <v/>
      </c>
      <c r="E2" s="1" t="str">
        <f>IF(OR(C2="",D2=""),"",C2-D2)</f>
        <v/>
      </c>
      <c r="H2" s="1" t="str">
        <f>IF(OR(F2="",G2=""),"",F2-G2)</f>
        <v/>
      </c>
      <c r="K2" s="1" t="str">
        <f>IF(OR(I2="",J2=""),"",I2-J2)</f>
        <v/>
      </c>
      <c r="N2" s="1" t="str">
        <f>IF(OR(L2="",M2=""),"",L2-M2)</f>
        <v/>
      </c>
      <c r="Q2" s="1" t="str">
        <f>IF(OR(O2="",P2=""),"",O2-P2)</f>
        <v/>
      </c>
      <c r="T2" s="1" t="str">
        <f>IF(OR(R2="",S2=""),"",R2-S2)</f>
        <v/>
      </c>
      <c r="W2" s="1" t="str">
        <f>IF(OR(U2="",V2=""),"",U2-V2)</f>
        <v/>
      </c>
      <c r="Z2" s="1" t="str">
        <f>IF(OR(X2="",Y2=""),"",X2-Y2)</f>
        <v/>
      </c>
      <c r="AC2" s="1" t="str">
        <f>IF(OR(AA2="",AB2=""),"",AA2-AB2)</f>
        <v/>
      </c>
      <c r="AF2" s="1" t="str">
        <f>IF(OR(AD2="",AE2=""),"",AD2-AE2)</f>
        <v/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367</v>
      </c>
      <c r="B1" s="1" t="s">
        <v>368</v>
      </c>
      <c r="C1" s="1" t="s">
        <v>234</v>
      </c>
    </row>
    <row r="2">
      <c r="A2" s="1" t="s">
        <v>369</v>
      </c>
      <c r="B2" s="1">
        <v>2.0</v>
      </c>
      <c r="C2" s="1" t="s">
        <v>370</v>
      </c>
    </row>
    <row r="3">
      <c r="A3" s="1" t="s">
        <v>226</v>
      </c>
      <c r="B3" s="1" t="str">
        <f t="array" ref="B3">INDEX(Report_Export!A:A,B2)</f>
        <v/>
      </c>
      <c r="C3" s="1" t="s">
        <v>371</v>
      </c>
    </row>
    <row r="4">
      <c r="A4" s="1" t="s">
        <v>227</v>
      </c>
      <c r="B4" s="1" t="str">
        <f t="array" ref="B4">INDEX(Report_Export!B:B,B2)</f>
        <v/>
      </c>
      <c r="C4" s="1" t="s">
        <v>371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0" width="8.71"/>
  </cols>
  <sheetData>
    <row r="1">
      <c r="A1" s="1" t="s">
        <v>372</v>
      </c>
      <c r="B1" s="1" t="s">
        <v>373</v>
      </c>
      <c r="C1" s="1" t="s">
        <v>374</v>
      </c>
      <c r="D1" s="1" t="s">
        <v>375</v>
      </c>
      <c r="E1" s="1" t="s">
        <v>376</v>
      </c>
      <c r="F1" s="1" t="s">
        <v>377</v>
      </c>
      <c r="G1" s="1" t="s">
        <v>378</v>
      </c>
      <c r="H1" s="1" t="s">
        <v>379</v>
      </c>
      <c r="I1" s="1" t="s">
        <v>380</v>
      </c>
      <c r="J1" s="1" t="s">
        <v>381</v>
      </c>
      <c r="K1" s="1" t="s">
        <v>382</v>
      </c>
      <c r="L1" s="1" t="s">
        <v>383</v>
      </c>
      <c r="M1" s="1" t="s">
        <v>384</v>
      </c>
      <c r="N1" s="1" t="s">
        <v>385</v>
      </c>
      <c r="O1" s="1" t="s">
        <v>386</v>
      </c>
      <c r="P1" s="1" t="s">
        <v>387</v>
      </c>
      <c r="Q1" s="1" t="s">
        <v>388</v>
      </c>
      <c r="R1" s="1" t="s">
        <v>389</v>
      </c>
      <c r="S1" s="1" t="s">
        <v>390</v>
      </c>
      <c r="T1" s="1" t="s">
        <v>391</v>
      </c>
      <c r="U1" s="1" t="s">
        <v>392</v>
      </c>
      <c r="V1" s="1" t="s">
        <v>393</v>
      </c>
      <c r="W1" s="1" t="s">
        <v>394</v>
      </c>
      <c r="X1" s="1" t="s">
        <v>395</v>
      </c>
      <c r="Y1" s="1" t="s">
        <v>396</v>
      </c>
      <c r="Z1" s="1" t="s">
        <v>397</v>
      </c>
      <c r="AA1" s="1" t="s">
        <v>398</v>
      </c>
      <c r="AB1" s="1" t="s">
        <v>399</v>
      </c>
      <c r="AC1" s="1" t="s">
        <v>400</v>
      </c>
      <c r="AD1" s="1" t="s">
        <v>401</v>
      </c>
      <c r="AE1" s="1" t="s">
        <v>402</v>
      </c>
      <c r="AF1" s="1" t="s">
        <v>403</v>
      </c>
      <c r="AG1" s="1" t="s">
        <v>404</v>
      </c>
      <c r="AH1" s="1" t="s">
        <v>405</v>
      </c>
      <c r="AI1" s="1" t="s">
        <v>406</v>
      </c>
      <c r="AJ1" s="1" t="s">
        <v>407</v>
      </c>
      <c r="AK1" s="1" t="s">
        <v>408</v>
      </c>
      <c r="AL1" s="1" t="s">
        <v>409</v>
      </c>
      <c r="AM1" s="1" t="s">
        <v>410</v>
      </c>
      <c r="AN1" s="1" t="s">
        <v>411</v>
      </c>
    </row>
    <row r="2">
      <c r="A2" s="1" t="str">
        <f t="array" ref="A2">INDEX(Report_Export!A:A,Report_Control!$B$2)</f>
        <v/>
      </c>
      <c r="B2" s="1" t="str">
        <f t="array" ref="B2">INDEX(Report_Export!B:B,Report_Control!$B$2)</f>
        <v/>
      </c>
      <c r="C2" s="1" t="str">
        <f t="array" ref="C2">INDEX(Report_Export!C:C,Report_Control!$B$2)</f>
        <v/>
      </c>
      <c r="D2" s="1" t="str">
        <f t="array" ref="D2">INDEX(Report_Export!D:D,Report_Control!$B$2)</f>
        <v/>
      </c>
      <c r="E2" s="1" t="str">
        <f t="array" ref="E2">INDEX(Report_Export!E:E,Report_Control!$B$2)</f>
        <v/>
      </c>
      <c r="F2" s="1" t="str">
        <f t="array" ref="F2">INDEX(Report_Export!F:F,Report_Control!$B$2)</f>
        <v/>
      </c>
      <c r="G2" s="1" t="str">
        <f t="array" ref="G2">INDEX(Report_Export!G:G,Report_Control!$B$2)</f>
        <v/>
      </c>
      <c r="H2" s="1" t="str">
        <f t="array" ref="H2">INDEX(Report_Export!H:H,Report_Control!$B$2)</f>
        <v/>
      </c>
      <c r="I2" s="1" t="str">
        <f t="array" ref="I2">INDEX(Report_Export!I:I,Report_Control!$B$2)</f>
        <v/>
      </c>
      <c r="J2" s="1" t="str">
        <f t="array" ref="J2">INDEX(Report_Export!J:J,Report_Control!$B$2)</f>
        <v/>
      </c>
      <c r="K2" s="1" t="str">
        <f t="array" ref="K2">INDEX(Report_Export!K:K,Report_Control!$B$2)</f>
        <v/>
      </c>
      <c r="L2" s="1" t="str">
        <f t="array" ref="L2">INDEX(Report_Export!L:L,Report_Control!$B$2)</f>
        <v/>
      </c>
      <c r="M2" s="1" t="str">
        <f t="array" ref="M2">INDEX(Report_Export!M:M,Report_Control!$B$2)</f>
        <v/>
      </c>
      <c r="N2" s="1" t="str">
        <f t="array" ref="N2">INDEX(Report_Export!N:N,Report_Control!$B$2)</f>
        <v/>
      </c>
      <c r="O2" s="1" t="str">
        <f t="array" ref="O2">INDEX(Report_Export!O:O,Report_Control!$B$2)</f>
        <v/>
      </c>
      <c r="P2" s="1" t="str">
        <f t="array" ref="P2">INDEX(Report_Export!P:P,Report_Control!$B$2)</f>
        <v/>
      </c>
      <c r="Q2" s="1" t="str">
        <f t="array" ref="Q2">INDEX(Report_Export!Q:Q,Report_Control!$B$2)</f>
        <v/>
      </c>
      <c r="R2" s="1" t="str">
        <f t="array" ref="R2">INDEX(Report_Export!R:R,Report_Control!$B$2)</f>
        <v/>
      </c>
      <c r="S2" s="1" t="str">
        <f t="array" ref="S2">INDEX(Report_Export!S:S,Report_Control!$B$2)</f>
        <v/>
      </c>
      <c r="T2" s="1" t="str">
        <f t="array" ref="T2">INDEX(Report_Export!T:T,Report_Control!$B$2)</f>
        <v/>
      </c>
      <c r="U2" s="1" t="str">
        <f t="array" ref="U2">INDEX(Report_Export!U:U,Report_Control!$B$2)</f>
        <v/>
      </c>
      <c r="V2" s="1" t="str">
        <f t="array" ref="V2">INDEX(Report_Export!V:V,Report_Control!$B$2)</f>
        <v/>
      </c>
      <c r="W2" s="1" t="str">
        <f t="array" ref="W2">INDEX(Report_Export!W:W,Report_Control!$B$2)</f>
        <v/>
      </c>
      <c r="X2" s="1" t="str">
        <f t="array" ref="X2">INDEX(Report_Export!X:X,Report_Control!$B$2)</f>
        <v/>
      </c>
      <c r="Y2" s="1" t="str">
        <f t="array" ref="Y2">INDEX(Report_Export!Y:Y,Report_Control!$B$2)</f>
        <v/>
      </c>
      <c r="Z2" s="1" t="str">
        <f t="array" ref="Z2">INDEX(Report_Export!Z:Z,Report_Control!$B$2)</f>
        <v/>
      </c>
      <c r="AA2" s="1" t="str">
        <f t="array" ref="AA2">INDEX(Report_Export!AA:AA,Report_Control!$B$2)</f>
        <v/>
      </c>
      <c r="AB2" s="1" t="str">
        <f t="array" ref="AB2">INDEX(Report_Export!AB:AB,Report_Control!$B$2)</f>
        <v/>
      </c>
      <c r="AC2" s="1" t="str">
        <f t="array" ref="AC2">INDEX(Report_Export!AC:AC,Report_Control!$B$2)</f>
        <v/>
      </c>
      <c r="AD2" s="1" t="str">
        <f t="array" ref="AD2">INDEX(Report_Export!AD:AD,Report_Control!$B$2)</f>
        <v/>
      </c>
      <c r="AE2" s="1" t="str">
        <f t="array" ref="AE2">INDEX(Report_Export!AE:AE,Report_Control!$B$2)</f>
        <v/>
      </c>
      <c r="AF2" s="1" t="str">
        <f t="array" ref="AF2">INDEX(Report_Export!AF:AF,Report_Control!$B$2)</f>
        <v/>
      </c>
      <c r="AG2" s="1" t="str">
        <f t="array" ref="AG2">INDEX(Report_Export!AG:AG,Report_Control!$B$2)</f>
        <v/>
      </c>
      <c r="AH2" s="1" t="str">
        <f t="array" ref="AH2">INDEX(Report_Export!AH:AH,Report_Control!$B$2)</f>
        <v/>
      </c>
      <c r="AI2" s="1" t="str">
        <f t="array" ref="AI2">INDEX(Report_Export!AI:AI,Report_Control!$B$2)</f>
        <v/>
      </c>
      <c r="AJ2" s="1" t="str">
        <f t="array" ref="AJ2">INDEX(Report_Export!AJ:AJ,Report_Control!$B$2)</f>
        <v/>
      </c>
      <c r="AK2" s="1" t="str">
        <f t="array" ref="AK2">INDEX(Report_Export!AK:AK,Report_Control!$B$2)</f>
        <v/>
      </c>
      <c r="AL2" s="1" t="str">
        <f t="array" ref="AL2">SUBSTITUTE(SUBSTITUTE(INDEX(Report_Export!AL:AL,Report_Control!$B$2),CHAR(13),""),CHAR(10),"&lt;br&gt;&lt;br&gt;")</f>
        <v/>
      </c>
      <c r="AM2" s="1" t="str">
        <f t="array" ref="AM2">SUBSTITUTE(SUBSTITUTE(INDEX(Report_Export!AM:AM,Report_Control!$B$2),CHAR(13),""),CHAR(10),"&lt;br&gt;&lt;br&gt;")</f>
        <v/>
      </c>
      <c r="AN2" s="1" t="str">
        <f t="array" ref="AN2">SUBSTITUTE(SUBSTITUTE(INDEX(Report_Export!AN:AN,Report_Control!$B$2),CHAR(13),""),CHAR(10),"&lt;br&gt;&lt;br&gt;")</f>
        <v/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412</v>
      </c>
      <c r="B1" s="1" t="s">
        <v>413</v>
      </c>
      <c r="C1" s="1" t="s">
        <v>234</v>
      </c>
    </row>
    <row r="2">
      <c r="A2" s="1" t="s">
        <v>414</v>
      </c>
      <c r="B2" s="1">
        <v>0.1</v>
      </c>
      <c r="C2" s="1" t="s">
        <v>415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2" t="s">
        <v>226</v>
      </c>
      <c r="B1" s="2" t="s">
        <v>416</v>
      </c>
      <c r="C1" s="2" t="s">
        <v>237</v>
      </c>
      <c r="D1" s="2" t="s">
        <v>238</v>
      </c>
      <c r="E1" s="2" t="s">
        <v>417</v>
      </c>
      <c r="F1" s="2" t="s">
        <v>255</v>
      </c>
      <c r="G1" s="2" t="s">
        <v>418</v>
      </c>
      <c r="H1" s="2" t="s">
        <v>419</v>
      </c>
      <c r="I1" s="2" t="s">
        <v>420</v>
      </c>
      <c r="J1" s="2" t="s">
        <v>256</v>
      </c>
      <c r="K1" s="2" t="s">
        <v>421</v>
      </c>
      <c r="L1" s="2" t="s">
        <v>234</v>
      </c>
      <c r="M1" s="5"/>
      <c r="N1" s="5"/>
      <c r="O1" s="5"/>
      <c r="P1" s="5"/>
      <c r="Q1" s="5"/>
      <c r="R1" s="5"/>
      <c r="S1" s="5"/>
      <c r="T1" s="5"/>
    </row>
    <row r="2">
      <c r="A2" s="3" t="s">
        <v>274</v>
      </c>
      <c r="B2" s="3" t="s">
        <v>279</v>
      </c>
      <c r="C2" s="3" t="s">
        <v>275</v>
      </c>
      <c r="D2" s="3" t="s">
        <v>276</v>
      </c>
      <c r="E2" s="3" t="s">
        <v>73</v>
      </c>
      <c r="F2" s="3" t="s">
        <v>73</v>
      </c>
      <c r="G2" s="3" t="s">
        <v>422</v>
      </c>
      <c r="H2" s="3" t="s">
        <v>273</v>
      </c>
      <c r="I2" s="3" t="s">
        <v>273</v>
      </c>
      <c r="J2" s="3" t="s">
        <v>278</v>
      </c>
      <c r="L2" s="3" t="s">
        <v>423</v>
      </c>
    </row>
    <row r="3">
      <c r="A3" s="3" t="s">
        <v>274</v>
      </c>
      <c r="B3" s="3" t="s">
        <v>293</v>
      </c>
      <c r="C3" s="3" t="s">
        <v>285</v>
      </c>
      <c r="D3" s="3" t="s">
        <v>286</v>
      </c>
      <c r="E3" s="3" t="s">
        <v>287</v>
      </c>
      <c r="F3" s="3" t="s">
        <v>291</v>
      </c>
      <c r="G3" s="3" t="s">
        <v>422</v>
      </c>
      <c r="H3" s="3" t="s">
        <v>273</v>
      </c>
      <c r="I3" s="3" t="s">
        <v>284</v>
      </c>
      <c r="J3" s="3" t="s">
        <v>292</v>
      </c>
      <c r="L3" s="3" t="s">
        <v>424</v>
      </c>
    </row>
    <row r="4">
      <c r="A4" s="3" t="s">
        <v>274</v>
      </c>
      <c r="B4" s="3" t="s">
        <v>305</v>
      </c>
      <c r="C4" s="3" t="s">
        <v>297</v>
      </c>
      <c r="D4" s="3" t="s">
        <v>298</v>
      </c>
      <c r="E4" s="3" t="s">
        <v>299</v>
      </c>
      <c r="F4" s="3" t="s">
        <v>303</v>
      </c>
      <c r="G4" s="3" t="s">
        <v>422</v>
      </c>
      <c r="H4" s="3" t="s">
        <v>273</v>
      </c>
      <c r="I4" s="3" t="s">
        <v>296</v>
      </c>
      <c r="J4" s="3" t="s">
        <v>304</v>
      </c>
      <c r="L4" s="3" t="s">
        <v>424</v>
      </c>
    </row>
    <row r="5">
      <c r="A5" s="3" t="s">
        <v>274</v>
      </c>
      <c r="B5" s="3" t="s">
        <v>317</v>
      </c>
      <c r="C5" s="3" t="s">
        <v>309</v>
      </c>
      <c r="D5" s="3" t="s">
        <v>310</v>
      </c>
      <c r="E5" s="3" t="s">
        <v>311</v>
      </c>
      <c r="F5" s="3" t="s">
        <v>315</v>
      </c>
      <c r="G5" s="3" t="s">
        <v>422</v>
      </c>
      <c r="H5" s="3" t="s">
        <v>273</v>
      </c>
      <c r="I5" s="3" t="s">
        <v>308</v>
      </c>
      <c r="J5" s="3" t="s">
        <v>316</v>
      </c>
      <c r="L5" s="3" t="s">
        <v>424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2" t="s">
        <v>226</v>
      </c>
      <c r="B1" s="2" t="s">
        <v>425</v>
      </c>
      <c r="C1" s="2" t="s">
        <v>92</v>
      </c>
      <c r="D1" s="2" t="s">
        <v>426</v>
      </c>
      <c r="E1" s="2" t="s">
        <v>427</v>
      </c>
      <c r="F1" s="2" t="s">
        <v>428</v>
      </c>
      <c r="G1" s="2" t="s">
        <v>429</v>
      </c>
      <c r="H1" s="2" t="s">
        <v>430</v>
      </c>
      <c r="I1" s="2" t="s">
        <v>431</v>
      </c>
      <c r="J1" s="2" t="s">
        <v>432</v>
      </c>
      <c r="K1" s="2" t="s">
        <v>433</v>
      </c>
      <c r="L1" s="2" t="s">
        <v>434</v>
      </c>
    </row>
    <row r="2">
      <c r="A2" s="3" t="s">
        <v>274</v>
      </c>
      <c r="B2" s="3" t="s">
        <v>136</v>
      </c>
      <c r="C2" s="3" t="s">
        <v>96</v>
      </c>
      <c r="D2" s="1">
        <f>IFERROR(AVERAGEIFS(Response_Intake!$H:$H,Response_Intake!$B:$B,$A2,Response_Intake!$BA:$BA,"Self"),"")</f>
        <v>4</v>
      </c>
      <c r="E2" s="1">
        <f>IFERROR(AVERAGEIFS(Response_Intake!$H:$H,Response_Intake!$B:$B,$A2,Response_Intake!$BA:$BA,"&lt;&gt;Self",Response_Intake!$BA:$BA,"&lt;&gt;"),"")</f>
        <v>4.333333333</v>
      </c>
      <c r="F2" s="1">
        <f>IFERROR(AVERAGEIFS(Response_Intake!$H:$H,Response_Intake!$B:$B,$A2,Response_Intake!$BA:$BA,"Close Relationship"),"")</f>
        <v>5</v>
      </c>
      <c r="G2" s="1">
        <f>IFERROR(AVERAGEIFS(Response_Intake!$H:$H,Response_Intake!$B:$B,$A2,Response_Intake!$BA:$BA,"Ministry / Team"),"")</f>
        <v>4</v>
      </c>
      <c r="H2" s="1">
        <f>IFERROR(AVERAGEIFS(Response_Intake!$H:$H,Response_Intake!$B:$B,$A2,Response_Intake!$BA:$BA,"Mentor / Leader"),"")</f>
        <v>4</v>
      </c>
      <c r="I2" s="1">
        <f t="shared" ref="I2:I28" si="1">IFERROR(AVERAGE(F2:H2),"")</f>
        <v>4.333333333</v>
      </c>
      <c r="J2" s="1">
        <f t="shared" ref="J2:J28" si="2">IF(OR(D2="",I2=""),"",I2-D2)</f>
        <v>0.3333333333</v>
      </c>
      <c r="K2" s="1" t="str">
        <f t="shared" ref="K2:K28" si="3">IF(J2="","",IF(J2&gt;=1,"Encouragement Others See",IF(J2&lt;=-1,"Growth Invitation","Aligned")))</f>
        <v>Aligned</v>
      </c>
      <c r="L2" s="1" t="str">
        <f t="shared" ref="L2:L28" si="4">IF(K2="Encouragement Others See","Observers see this more strongly than the participant may realize.",IF(K2="Growth Invitation","The participant may experience this as more visible than observers currently see.","Self and observers are generally aligned."))</f>
        <v>Self and observers are generally aligned.</v>
      </c>
    </row>
    <row r="3">
      <c r="A3" s="3" t="s">
        <v>274</v>
      </c>
      <c r="B3" s="3" t="s">
        <v>140</v>
      </c>
      <c r="C3" s="3" t="s">
        <v>96</v>
      </c>
      <c r="D3" s="1">
        <f>IFERROR(AVERAGEIFS(Response_Intake!$I:$I,Response_Intake!$B:$B,$A3,Response_Intake!$BA:$BA,"Self"),"")</f>
        <v>5</v>
      </c>
      <c r="E3" s="1">
        <f>IFERROR(AVERAGEIFS(Response_Intake!$I:$I,Response_Intake!$B:$B,$A3,Response_Intake!$BA:$BA,"&lt;&gt;Self",Response_Intake!$BA:$BA,"&lt;&gt;"),"")</f>
        <v>4.666666667</v>
      </c>
      <c r="F3" s="1">
        <f>IFERROR(AVERAGEIFS(Response_Intake!$I:$I,Response_Intake!$B:$B,$A3,Response_Intake!$BA:$BA,"Close Relationship"),"")</f>
        <v>5</v>
      </c>
      <c r="G3" s="1">
        <f>IFERROR(AVERAGEIFS(Response_Intake!$I:$I,Response_Intake!$B:$B,$A3,Response_Intake!$BA:$BA,"Ministry / Team"),"")</f>
        <v>4</v>
      </c>
      <c r="H3" s="1">
        <f>IFERROR(AVERAGEIFS(Response_Intake!$I:$I,Response_Intake!$B:$B,$A3,Response_Intake!$BA:$BA,"Mentor / Leader"),"")</f>
        <v>5</v>
      </c>
      <c r="I3" s="1">
        <f t="shared" si="1"/>
        <v>4.666666667</v>
      </c>
      <c r="J3" s="1">
        <f t="shared" si="2"/>
        <v>-0.3333333333</v>
      </c>
      <c r="K3" s="1" t="str">
        <f t="shared" si="3"/>
        <v>Aligned</v>
      </c>
      <c r="L3" s="1" t="str">
        <f t="shared" si="4"/>
        <v>Self and observers are generally aligned.</v>
      </c>
    </row>
    <row r="4">
      <c r="A4" s="3" t="s">
        <v>274</v>
      </c>
      <c r="B4" s="3" t="s">
        <v>143</v>
      </c>
      <c r="C4" s="3" t="s">
        <v>96</v>
      </c>
      <c r="D4" s="1">
        <f>IFERROR(AVERAGEIFS(Response_Intake!$J:$J,Response_Intake!$B:$B,$A4,Response_Intake!$BA:$BA,"Self"),"")</f>
        <v>4</v>
      </c>
      <c r="E4" s="1">
        <f>IFERROR(AVERAGEIFS(Response_Intake!$J:$J,Response_Intake!$B:$B,$A4,Response_Intake!$BA:$BA,"&lt;&gt;Self",Response_Intake!$BA:$BA,"&lt;&gt;"),"")</f>
        <v>4.666666667</v>
      </c>
      <c r="F4" s="1">
        <f>IFERROR(AVERAGEIFS(Response_Intake!$J:$J,Response_Intake!$B:$B,$A4,Response_Intake!$BA:$BA,"Close Relationship"),"")</f>
        <v>4</v>
      </c>
      <c r="G4" s="1">
        <f>IFERROR(AVERAGEIFS(Response_Intake!$J:$J,Response_Intake!$B:$B,$A4,Response_Intake!$BA:$BA,"Ministry / Team"),"")</f>
        <v>5</v>
      </c>
      <c r="H4" s="1">
        <f>IFERROR(AVERAGEIFS(Response_Intake!$J:$J,Response_Intake!$B:$B,$A4,Response_Intake!$BA:$BA,"Mentor / Leader"),"")</f>
        <v>5</v>
      </c>
      <c r="I4" s="1">
        <f t="shared" si="1"/>
        <v>4.666666667</v>
      </c>
      <c r="J4" s="1">
        <f t="shared" si="2"/>
        <v>0.6666666667</v>
      </c>
      <c r="K4" s="1" t="str">
        <f t="shared" si="3"/>
        <v>Aligned</v>
      </c>
      <c r="L4" s="1" t="str">
        <f t="shared" si="4"/>
        <v>Self and observers are generally aligned.</v>
      </c>
    </row>
    <row r="5">
      <c r="A5" s="3" t="s">
        <v>274</v>
      </c>
      <c r="B5" s="3" t="s">
        <v>146</v>
      </c>
      <c r="C5" s="3" t="s">
        <v>100</v>
      </c>
      <c r="D5" s="1">
        <f>IFERROR(AVERAGEIFS(Response_Intake!$K:$K,Response_Intake!$B:$B,$A5,Response_Intake!$BA:$BA,"Self"),"")</f>
        <v>3</v>
      </c>
      <c r="E5" s="1">
        <f>IFERROR(AVERAGEIFS(Response_Intake!$K:$K,Response_Intake!$B:$B,$A5,Response_Intake!$BA:$BA,"&lt;&gt;Self",Response_Intake!$BA:$BA,"&lt;&gt;"),"")</f>
        <v>3.666666667</v>
      </c>
      <c r="F5" s="1">
        <f>IFERROR(AVERAGEIFS(Response_Intake!$K:$K,Response_Intake!$B:$B,$A5,Response_Intake!$BA:$BA,"Close Relationship"),"")</f>
        <v>4</v>
      </c>
      <c r="G5" s="1">
        <f>IFERROR(AVERAGEIFS(Response_Intake!$K:$K,Response_Intake!$B:$B,$A5,Response_Intake!$BA:$BA,"Ministry / Team"),"")</f>
        <v>3</v>
      </c>
      <c r="H5" s="1">
        <f>IFERROR(AVERAGEIFS(Response_Intake!$K:$K,Response_Intake!$B:$B,$A5,Response_Intake!$BA:$BA,"Mentor / Leader"),"")</f>
        <v>4</v>
      </c>
      <c r="I5" s="1">
        <f t="shared" si="1"/>
        <v>3.666666667</v>
      </c>
      <c r="J5" s="1">
        <f t="shared" si="2"/>
        <v>0.6666666667</v>
      </c>
      <c r="K5" s="1" t="str">
        <f t="shared" si="3"/>
        <v>Aligned</v>
      </c>
      <c r="L5" s="1" t="str">
        <f t="shared" si="4"/>
        <v>Self and observers are generally aligned.</v>
      </c>
    </row>
    <row r="6">
      <c r="A6" s="3" t="s">
        <v>274</v>
      </c>
      <c r="B6" s="3" t="s">
        <v>150</v>
      </c>
      <c r="C6" s="3" t="s">
        <v>100</v>
      </c>
      <c r="D6" s="1">
        <f>IFERROR(AVERAGEIFS(Response_Intake!$L:$L,Response_Intake!$B:$B,$A6,Response_Intake!$BA:$BA,"Self"),"")</f>
        <v>4</v>
      </c>
      <c r="E6" s="1">
        <f>IFERROR(AVERAGEIFS(Response_Intake!$L:$L,Response_Intake!$B:$B,$A6,Response_Intake!$BA:$BA,"&lt;&gt;Self",Response_Intake!$BA:$BA,"&lt;&gt;"),"")</f>
        <v>4</v>
      </c>
      <c r="F6" s="1">
        <f>IFERROR(AVERAGEIFS(Response_Intake!$L:$L,Response_Intake!$B:$B,$A6,Response_Intake!$BA:$BA,"Close Relationship"),"")</f>
        <v>4</v>
      </c>
      <c r="G6" s="1">
        <f>IFERROR(AVERAGEIFS(Response_Intake!$L:$L,Response_Intake!$B:$B,$A6,Response_Intake!$BA:$BA,"Ministry / Team"),"")</f>
        <v>4</v>
      </c>
      <c r="H6" s="1">
        <f>IFERROR(AVERAGEIFS(Response_Intake!$L:$L,Response_Intake!$B:$B,$A6,Response_Intake!$BA:$BA,"Mentor / Leader"),"")</f>
        <v>4</v>
      </c>
      <c r="I6" s="1">
        <f t="shared" si="1"/>
        <v>4</v>
      </c>
      <c r="J6" s="1">
        <f t="shared" si="2"/>
        <v>0</v>
      </c>
      <c r="K6" s="1" t="str">
        <f t="shared" si="3"/>
        <v>Aligned</v>
      </c>
      <c r="L6" s="1" t="str">
        <f t="shared" si="4"/>
        <v>Self and observers are generally aligned.</v>
      </c>
    </row>
    <row r="7">
      <c r="A7" s="3" t="s">
        <v>274</v>
      </c>
      <c r="B7" s="3" t="s">
        <v>153</v>
      </c>
      <c r="C7" s="3" t="s">
        <v>100</v>
      </c>
      <c r="D7" s="1">
        <f>IFERROR(AVERAGEIFS(Response_Intake!$M:$M,Response_Intake!$B:$B,$A7,Response_Intake!$BA:$BA,"Self"),"")</f>
        <v>4</v>
      </c>
      <c r="E7" s="1">
        <f>IFERROR(AVERAGEIFS(Response_Intake!$M:$M,Response_Intake!$B:$B,$A7,Response_Intake!$BA:$BA,"&lt;&gt;Self",Response_Intake!$BA:$BA,"&lt;&gt;"),"")</f>
        <v>3.666666667</v>
      </c>
      <c r="F7" s="1">
        <f>IFERROR(AVERAGEIFS(Response_Intake!$M:$M,Response_Intake!$B:$B,$A7,Response_Intake!$BA:$BA,"Close Relationship"),"")</f>
        <v>4</v>
      </c>
      <c r="G7" s="1">
        <f>IFERROR(AVERAGEIFS(Response_Intake!$M:$M,Response_Intake!$B:$B,$A7,Response_Intake!$BA:$BA,"Ministry / Team"),"")</f>
        <v>3</v>
      </c>
      <c r="H7" s="1">
        <f>IFERROR(AVERAGEIFS(Response_Intake!$M:$M,Response_Intake!$B:$B,$A7,Response_Intake!$BA:$BA,"Mentor / Leader"),"")</f>
        <v>4</v>
      </c>
      <c r="I7" s="1">
        <f t="shared" si="1"/>
        <v>3.666666667</v>
      </c>
      <c r="J7" s="1">
        <f t="shared" si="2"/>
        <v>-0.3333333333</v>
      </c>
      <c r="K7" s="1" t="str">
        <f t="shared" si="3"/>
        <v>Aligned</v>
      </c>
      <c r="L7" s="1" t="str">
        <f t="shared" si="4"/>
        <v>Self and observers are generally aligned.</v>
      </c>
    </row>
    <row r="8">
      <c r="A8" s="3" t="s">
        <v>274</v>
      </c>
      <c r="B8" s="3" t="s">
        <v>156</v>
      </c>
      <c r="C8" s="3" t="s">
        <v>104</v>
      </c>
      <c r="D8" s="1">
        <f>IFERROR(AVERAGEIFS(Response_Intake!$N:$N,Response_Intake!$B:$B,$A8,Response_Intake!$BA:$BA,"Self"),"")</f>
        <v>4</v>
      </c>
      <c r="E8" s="1">
        <f>IFERROR(AVERAGEIFS(Response_Intake!$N:$N,Response_Intake!$B:$B,$A8,Response_Intake!$BA:$BA,"&lt;&gt;Self",Response_Intake!$BA:$BA,"&lt;&gt;"),"")</f>
        <v>4.333333333</v>
      </c>
      <c r="F8" s="1">
        <f>IFERROR(AVERAGEIFS(Response_Intake!$N:$N,Response_Intake!$B:$B,$A8,Response_Intake!$BA:$BA,"Close Relationship"),"")</f>
        <v>5</v>
      </c>
      <c r="G8" s="1">
        <f>IFERROR(AVERAGEIFS(Response_Intake!$N:$N,Response_Intake!$B:$B,$A8,Response_Intake!$BA:$BA,"Ministry / Team"),"")</f>
        <v>4</v>
      </c>
      <c r="H8" s="1">
        <f>IFERROR(AVERAGEIFS(Response_Intake!$N:$N,Response_Intake!$B:$B,$A8,Response_Intake!$BA:$BA,"Mentor / Leader"),"")</f>
        <v>4</v>
      </c>
      <c r="I8" s="1">
        <f t="shared" si="1"/>
        <v>4.333333333</v>
      </c>
      <c r="J8" s="1">
        <f t="shared" si="2"/>
        <v>0.3333333333</v>
      </c>
      <c r="K8" s="1" t="str">
        <f t="shared" si="3"/>
        <v>Aligned</v>
      </c>
      <c r="L8" s="1" t="str">
        <f t="shared" si="4"/>
        <v>Self and observers are generally aligned.</v>
      </c>
    </row>
    <row r="9">
      <c r="A9" s="3" t="s">
        <v>274</v>
      </c>
      <c r="B9" s="3" t="s">
        <v>160</v>
      </c>
      <c r="C9" s="3" t="s">
        <v>104</v>
      </c>
      <c r="D9" s="1">
        <f>IFERROR(AVERAGEIFS(Response_Intake!$O:$O,Response_Intake!$B:$B,$A9,Response_Intake!$BA:$BA,"Self"),"")</f>
        <v>4</v>
      </c>
      <c r="E9" s="1">
        <f>IFERROR(AVERAGEIFS(Response_Intake!$O:$O,Response_Intake!$B:$B,$A9,Response_Intake!$BA:$BA,"&lt;&gt;Self",Response_Intake!$BA:$BA,"&lt;&gt;"),"")</f>
        <v>4.333333333</v>
      </c>
      <c r="F9" s="1">
        <f>IFERROR(AVERAGEIFS(Response_Intake!$O:$O,Response_Intake!$B:$B,$A9,Response_Intake!$BA:$BA,"Close Relationship"),"")</f>
        <v>4</v>
      </c>
      <c r="G9" s="1">
        <f>IFERROR(AVERAGEIFS(Response_Intake!$O:$O,Response_Intake!$B:$B,$A9,Response_Intake!$BA:$BA,"Ministry / Team"),"")</f>
        <v>4</v>
      </c>
      <c r="H9" s="1">
        <f>IFERROR(AVERAGEIFS(Response_Intake!$O:$O,Response_Intake!$B:$B,$A9,Response_Intake!$BA:$BA,"Mentor / Leader"),"")</f>
        <v>5</v>
      </c>
      <c r="I9" s="1">
        <f t="shared" si="1"/>
        <v>4.333333333</v>
      </c>
      <c r="J9" s="1">
        <f t="shared" si="2"/>
        <v>0.3333333333</v>
      </c>
      <c r="K9" s="1" t="str">
        <f t="shared" si="3"/>
        <v>Aligned</v>
      </c>
      <c r="L9" s="1" t="str">
        <f t="shared" si="4"/>
        <v>Self and observers are generally aligned.</v>
      </c>
    </row>
    <row r="10">
      <c r="A10" s="3" t="s">
        <v>274</v>
      </c>
      <c r="B10" s="3" t="s">
        <v>163</v>
      </c>
      <c r="C10" s="3" t="s">
        <v>104</v>
      </c>
      <c r="D10" s="1">
        <f>IFERROR(AVERAGEIFS(Response_Intake!$P:$P,Response_Intake!$B:$B,$A10,Response_Intake!$BA:$BA,"Self"),"")</f>
        <v>5</v>
      </c>
      <c r="E10" s="1">
        <f>IFERROR(AVERAGEIFS(Response_Intake!$P:$P,Response_Intake!$B:$B,$A10,Response_Intake!$BA:$BA,"&lt;&gt;Self",Response_Intake!$BA:$BA,"&lt;&gt;"),"")</f>
        <v>4.666666667</v>
      </c>
      <c r="F10" s="1">
        <f>IFERROR(AVERAGEIFS(Response_Intake!$P:$P,Response_Intake!$B:$B,$A10,Response_Intake!$BA:$BA,"Close Relationship"),"")</f>
        <v>5</v>
      </c>
      <c r="G10" s="1">
        <f>IFERROR(AVERAGEIFS(Response_Intake!$P:$P,Response_Intake!$B:$B,$A10,Response_Intake!$BA:$BA,"Ministry / Team"),"")</f>
        <v>4</v>
      </c>
      <c r="H10" s="1">
        <f>IFERROR(AVERAGEIFS(Response_Intake!$P:$P,Response_Intake!$B:$B,$A10,Response_Intake!$BA:$BA,"Mentor / Leader"),"")</f>
        <v>5</v>
      </c>
      <c r="I10" s="1">
        <f t="shared" si="1"/>
        <v>4.666666667</v>
      </c>
      <c r="J10" s="1">
        <f t="shared" si="2"/>
        <v>-0.3333333333</v>
      </c>
      <c r="K10" s="1" t="str">
        <f t="shared" si="3"/>
        <v>Aligned</v>
      </c>
      <c r="L10" s="1" t="str">
        <f t="shared" si="4"/>
        <v>Self and observers are generally aligned.</v>
      </c>
    </row>
    <row r="11">
      <c r="A11" s="3" t="s">
        <v>274</v>
      </c>
      <c r="B11" s="3" t="s">
        <v>166</v>
      </c>
      <c r="C11" s="3" t="s">
        <v>108</v>
      </c>
      <c r="D11" s="1">
        <f>IFERROR(AVERAGEIFS(Response_Intake!$Q:$Q,Response_Intake!$B:$B,$A11,Response_Intake!$BA:$BA,"Self"),"")</f>
        <v>3</v>
      </c>
      <c r="E11" s="1">
        <f>IFERROR(AVERAGEIFS(Response_Intake!$Q:$Q,Response_Intake!$B:$B,$A11,Response_Intake!$BA:$BA,"&lt;&gt;Self",Response_Intake!$BA:$BA,"&lt;&gt;"),"")</f>
        <v>3.333333333</v>
      </c>
      <c r="F11" s="1">
        <f>IFERROR(AVERAGEIFS(Response_Intake!$Q:$Q,Response_Intake!$B:$B,$A11,Response_Intake!$BA:$BA,"Close Relationship"),"")</f>
        <v>3</v>
      </c>
      <c r="G11" s="1">
        <f>IFERROR(AVERAGEIFS(Response_Intake!$Q:$Q,Response_Intake!$B:$B,$A11,Response_Intake!$BA:$BA,"Ministry / Team"),"")</f>
        <v>3</v>
      </c>
      <c r="H11" s="1">
        <f>IFERROR(AVERAGEIFS(Response_Intake!$Q:$Q,Response_Intake!$B:$B,$A11,Response_Intake!$BA:$BA,"Mentor / Leader"),"")</f>
        <v>4</v>
      </c>
      <c r="I11" s="1">
        <f t="shared" si="1"/>
        <v>3.333333333</v>
      </c>
      <c r="J11" s="1">
        <f t="shared" si="2"/>
        <v>0.3333333333</v>
      </c>
      <c r="K11" s="1" t="str">
        <f t="shared" si="3"/>
        <v>Aligned</v>
      </c>
      <c r="L11" s="1" t="str">
        <f t="shared" si="4"/>
        <v>Self and observers are generally aligned.</v>
      </c>
    </row>
    <row r="12">
      <c r="A12" s="3" t="s">
        <v>274</v>
      </c>
      <c r="B12" s="3" t="s">
        <v>170</v>
      </c>
      <c r="C12" s="3" t="s">
        <v>108</v>
      </c>
      <c r="D12" s="1">
        <f>IFERROR(AVERAGEIFS(Response_Intake!$R:$R,Response_Intake!$B:$B,$A12,Response_Intake!$BA:$BA,"Self"),"")</f>
        <v>3</v>
      </c>
      <c r="E12" s="1">
        <f>IFERROR(AVERAGEIFS(Response_Intake!$R:$R,Response_Intake!$B:$B,$A12,Response_Intake!$BA:$BA,"&lt;&gt;Self",Response_Intake!$BA:$BA,"&lt;&gt;"),"")</f>
        <v>3.333333333</v>
      </c>
      <c r="F12" s="1">
        <f>IFERROR(AVERAGEIFS(Response_Intake!$R:$R,Response_Intake!$B:$B,$A12,Response_Intake!$BA:$BA,"Close Relationship"),"")</f>
        <v>4</v>
      </c>
      <c r="G12" s="1">
        <f>IFERROR(AVERAGEIFS(Response_Intake!$R:$R,Response_Intake!$B:$B,$A12,Response_Intake!$BA:$BA,"Ministry / Team"),"")</f>
        <v>3</v>
      </c>
      <c r="H12" s="1">
        <f>IFERROR(AVERAGEIFS(Response_Intake!$R:$R,Response_Intake!$B:$B,$A12,Response_Intake!$BA:$BA,"Mentor / Leader"),"")</f>
        <v>3</v>
      </c>
      <c r="I12" s="1">
        <f t="shared" si="1"/>
        <v>3.333333333</v>
      </c>
      <c r="J12" s="1">
        <f t="shared" si="2"/>
        <v>0.3333333333</v>
      </c>
      <c r="K12" s="1" t="str">
        <f t="shared" si="3"/>
        <v>Aligned</v>
      </c>
      <c r="L12" s="1" t="str">
        <f t="shared" si="4"/>
        <v>Self and observers are generally aligned.</v>
      </c>
    </row>
    <row r="13">
      <c r="A13" s="3" t="s">
        <v>274</v>
      </c>
      <c r="B13" s="3" t="s">
        <v>173</v>
      </c>
      <c r="C13" s="3" t="s">
        <v>108</v>
      </c>
      <c r="D13" s="1">
        <f>IFERROR(AVERAGEIFS(Response_Intake!$S:$S,Response_Intake!$B:$B,$A13,Response_Intake!$BA:$BA,"Self"),"")</f>
        <v>4</v>
      </c>
      <c r="E13" s="1">
        <f>IFERROR(AVERAGEIFS(Response_Intake!$S:$S,Response_Intake!$B:$B,$A13,Response_Intake!$BA:$BA,"&lt;&gt;Self",Response_Intake!$BA:$BA,"&lt;&gt;"),"")</f>
        <v>3.333333333</v>
      </c>
      <c r="F13" s="1">
        <f>IFERROR(AVERAGEIFS(Response_Intake!$S:$S,Response_Intake!$B:$B,$A13,Response_Intake!$BA:$BA,"Close Relationship"),"")</f>
        <v>3</v>
      </c>
      <c r="G13" s="1">
        <f>IFERROR(AVERAGEIFS(Response_Intake!$S:$S,Response_Intake!$B:$B,$A13,Response_Intake!$BA:$BA,"Ministry / Team"),"")</f>
        <v>3</v>
      </c>
      <c r="H13" s="1">
        <f>IFERROR(AVERAGEIFS(Response_Intake!$S:$S,Response_Intake!$B:$B,$A13,Response_Intake!$BA:$BA,"Mentor / Leader"),"")</f>
        <v>4</v>
      </c>
      <c r="I13" s="1">
        <f t="shared" si="1"/>
        <v>3.333333333</v>
      </c>
      <c r="J13" s="1">
        <f t="shared" si="2"/>
        <v>-0.6666666667</v>
      </c>
      <c r="K13" s="1" t="str">
        <f t="shared" si="3"/>
        <v>Aligned</v>
      </c>
      <c r="L13" s="1" t="str">
        <f t="shared" si="4"/>
        <v>Self and observers are generally aligned.</v>
      </c>
    </row>
    <row r="14">
      <c r="A14" s="3" t="s">
        <v>274</v>
      </c>
      <c r="B14" s="3" t="s">
        <v>176</v>
      </c>
      <c r="C14" s="3" t="s">
        <v>112</v>
      </c>
      <c r="D14" s="1">
        <f>IFERROR(AVERAGEIFS(Response_Intake!$T:$T,Response_Intake!$B:$B,$A14,Response_Intake!$BA:$BA,"Self"),"")</f>
        <v>5</v>
      </c>
      <c r="E14" s="1">
        <f>IFERROR(AVERAGEIFS(Response_Intake!$T:$T,Response_Intake!$B:$B,$A14,Response_Intake!$BA:$BA,"&lt;&gt;Self",Response_Intake!$BA:$BA,"&lt;&gt;"),"")</f>
        <v>4.666666667</v>
      </c>
      <c r="F14" s="1">
        <f>IFERROR(AVERAGEIFS(Response_Intake!$T:$T,Response_Intake!$B:$B,$A14,Response_Intake!$BA:$BA,"Close Relationship"),"")</f>
        <v>5</v>
      </c>
      <c r="G14" s="1">
        <f>IFERROR(AVERAGEIFS(Response_Intake!$T:$T,Response_Intake!$B:$B,$A14,Response_Intake!$BA:$BA,"Ministry / Team"),"")</f>
        <v>4</v>
      </c>
      <c r="H14" s="1">
        <f>IFERROR(AVERAGEIFS(Response_Intake!$T:$T,Response_Intake!$B:$B,$A14,Response_Intake!$BA:$BA,"Mentor / Leader"),"")</f>
        <v>5</v>
      </c>
      <c r="I14" s="1">
        <f t="shared" si="1"/>
        <v>4.666666667</v>
      </c>
      <c r="J14" s="1">
        <f t="shared" si="2"/>
        <v>-0.3333333333</v>
      </c>
      <c r="K14" s="1" t="str">
        <f t="shared" si="3"/>
        <v>Aligned</v>
      </c>
      <c r="L14" s="1" t="str">
        <f t="shared" si="4"/>
        <v>Self and observers are generally aligned.</v>
      </c>
    </row>
    <row r="15">
      <c r="A15" s="3" t="s">
        <v>274</v>
      </c>
      <c r="B15" s="3" t="s">
        <v>180</v>
      </c>
      <c r="C15" s="3" t="s">
        <v>112</v>
      </c>
      <c r="D15" s="1">
        <f>IFERROR(AVERAGEIFS(Response_Intake!$U:$U,Response_Intake!$B:$B,$A15,Response_Intake!$BA:$BA,"Self"),"")</f>
        <v>4</v>
      </c>
      <c r="E15" s="1">
        <f>IFERROR(AVERAGEIFS(Response_Intake!$U:$U,Response_Intake!$B:$B,$A15,Response_Intake!$BA:$BA,"&lt;&gt;Self",Response_Intake!$BA:$BA,"&lt;&gt;"),"")</f>
        <v>4.666666667</v>
      </c>
      <c r="F15" s="1">
        <f>IFERROR(AVERAGEIFS(Response_Intake!$U:$U,Response_Intake!$B:$B,$A15,Response_Intake!$BA:$BA,"Close Relationship"),"")</f>
        <v>5</v>
      </c>
      <c r="G15" s="1">
        <f>IFERROR(AVERAGEIFS(Response_Intake!$U:$U,Response_Intake!$B:$B,$A15,Response_Intake!$BA:$BA,"Ministry / Team"),"")</f>
        <v>5</v>
      </c>
      <c r="H15" s="1">
        <f>IFERROR(AVERAGEIFS(Response_Intake!$U:$U,Response_Intake!$B:$B,$A15,Response_Intake!$BA:$BA,"Mentor / Leader"),"")</f>
        <v>4</v>
      </c>
      <c r="I15" s="1">
        <f t="shared" si="1"/>
        <v>4.666666667</v>
      </c>
      <c r="J15" s="1">
        <f t="shared" si="2"/>
        <v>0.6666666667</v>
      </c>
      <c r="K15" s="1" t="str">
        <f t="shared" si="3"/>
        <v>Aligned</v>
      </c>
      <c r="L15" s="1" t="str">
        <f t="shared" si="4"/>
        <v>Self and observers are generally aligned.</v>
      </c>
    </row>
    <row r="16">
      <c r="A16" s="3" t="s">
        <v>274</v>
      </c>
      <c r="B16" s="3" t="s">
        <v>183</v>
      </c>
      <c r="C16" s="3" t="s">
        <v>112</v>
      </c>
      <c r="D16" s="1">
        <f>IFERROR(AVERAGEIFS(Response_Intake!$V:$V,Response_Intake!$B:$B,$A16,Response_Intake!$BA:$BA,"Self"),"")</f>
        <v>5</v>
      </c>
      <c r="E16" s="1">
        <f>IFERROR(AVERAGEIFS(Response_Intake!$V:$V,Response_Intake!$B:$B,$A16,Response_Intake!$BA:$BA,"&lt;&gt;Self",Response_Intake!$BA:$BA,"&lt;&gt;"),"")</f>
        <v>4.666666667</v>
      </c>
      <c r="F16" s="1">
        <f>IFERROR(AVERAGEIFS(Response_Intake!$V:$V,Response_Intake!$B:$B,$A16,Response_Intake!$BA:$BA,"Close Relationship"),"")</f>
        <v>5</v>
      </c>
      <c r="G16" s="1">
        <f>IFERROR(AVERAGEIFS(Response_Intake!$V:$V,Response_Intake!$B:$B,$A16,Response_Intake!$BA:$BA,"Ministry / Team"),"")</f>
        <v>4</v>
      </c>
      <c r="H16" s="1">
        <f>IFERROR(AVERAGEIFS(Response_Intake!$V:$V,Response_Intake!$B:$B,$A16,Response_Intake!$BA:$BA,"Mentor / Leader"),"")</f>
        <v>5</v>
      </c>
      <c r="I16" s="1">
        <f t="shared" si="1"/>
        <v>4.666666667</v>
      </c>
      <c r="J16" s="1">
        <f t="shared" si="2"/>
        <v>-0.3333333333</v>
      </c>
      <c r="K16" s="1" t="str">
        <f t="shared" si="3"/>
        <v>Aligned</v>
      </c>
      <c r="L16" s="1" t="str">
        <f t="shared" si="4"/>
        <v>Self and observers are generally aligned.</v>
      </c>
    </row>
    <row r="17">
      <c r="A17" s="3" t="s">
        <v>274</v>
      </c>
      <c r="B17" s="3" t="s">
        <v>186</v>
      </c>
      <c r="C17" s="3" t="s">
        <v>116</v>
      </c>
      <c r="D17" s="1">
        <f>IFERROR(AVERAGEIFS(Response_Intake!$W:$W,Response_Intake!$B:$B,$A17,Response_Intake!$BA:$BA,"Self"),"")</f>
        <v>4</v>
      </c>
      <c r="E17" s="1">
        <f>IFERROR(AVERAGEIFS(Response_Intake!$W:$W,Response_Intake!$B:$B,$A17,Response_Intake!$BA:$BA,"&lt;&gt;Self",Response_Intake!$BA:$BA,"&lt;&gt;"),"")</f>
        <v>4</v>
      </c>
      <c r="F17" s="1">
        <f>IFERROR(AVERAGEIFS(Response_Intake!$W:$W,Response_Intake!$B:$B,$A17,Response_Intake!$BA:$BA,"Close Relationship"),"")</f>
        <v>4</v>
      </c>
      <c r="G17" s="1">
        <f>IFERROR(AVERAGEIFS(Response_Intake!$W:$W,Response_Intake!$B:$B,$A17,Response_Intake!$BA:$BA,"Ministry / Team"),"")</f>
        <v>4</v>
      </c>
      <c r="H17" s="1">
        <f>IFERROR(AVERAGEIFS(Response_Intake!$W:$W,Response_Intake!$B:$B,$A17,Response_Intake!$BA:$BA,"Mentor / Leader"),"")</f>
        <v>4</v>
      </c>
      <c r="I17" s="1">
        <f t="shared" si="1"/>
        <v>4</v>
      </c>
      <c r="J17" s="1">
        <f t="shared" si="2"/>
        <v>0</v>
      </c>
      <c r="K17" s="1" t="str">
        <f t="shared" si="3"/>
        <v>Aligned</v>
      </c>
      <c r="L17" s="1" t="str">
        <f t="shared" si="4"/>
        <v>Self and observers are generally aligned.</v>
      </c>
    </row>
    <row r="18">
      <c r="A18" s="3" t="s">
        <v>274</v>
      </c>
      <c r="B18" s="3" t="s">
        <v>190</v>
      </c>
      <c r="C18" s="3" t="s">
        <v>116</v>
      </c>
      <c r="D18" s="1">
        <f>IFERROR(AVERAGEIFS(Response_Intake!$X:$X,Response_Intake!$B:$B,$A18,Response_Intake!$BA:$BA,"Self"),"")</f>
        <v>4</v>
      </c>
      <c r="E18" s="1">
        <f>IFERROR(AVERAGEIFS(Response_Intake!$X:$X,Response_Intake!$B:$B,$A18,Response_Intake!$BA:$BA,"&lt;&gt;Self",Response_Intake!$BA:$BA,"&lt;&gt;"),"")</f>
        <v>4.333333333</v>
      </c>
      <c r="F18" s="1">
        <f>IFERROR(AVERAGEIFS(Response_Intake!$X:$X,Response_Intake!$B:$B,$A18,Response_Intake!$BA:$BA,"Close Relationship"),"")</f>
        <v>4</v>
      </c>
      <c r="G18" s="1">
        <f>IFERROR(AVERAGEIFS(Response_Intake!$X:$X,Response_Intake!$B:$B,$A18,Response_Intake!$BA:$BA,"Ministry / Team"),"")</f>
        <v>4</v>
      </c>
      <c r="H18" s="1">
        <f>IFERROR(AVERAGEIFS(Response_Intake!$X:$X,Response_Intake!$B:$B,$A18,Response_Intake!$BA:$BA,"Mentor / Leader"),"")</f>
        <v>5</v>
      </c>
      <c r="I18" s="1">
        <f t="shared" si="1"/>
        <v>4.333333333</v>
      </c>
      <c r="J18" s="1">
        <f t="shared" si="2"/>
        <v>0.3333333333</v>
      </c>
      <c r="K18" s="1" t="str">
        <f t="shared" si="3"/>
        <v>Aligned</v>
      </c>
      <c r="L18" s="1" t="str">
        <f t="shared" si="4"/>
        <v>Self and observers are generally aligned.</v>
      </c>
    </row>
    <row r="19">
      <c r="A19" s="3" t="s">
        <v>274</v>
      </c>
      <c r="B19" s="3" t="s">
        <v>193</v>
      </c>
      <c r="C19" s="3" t="s">
        <v>116</v>
      </c>
      <c r="D19" s="1">
        <f>IFERROR(AVERAGEIFS(Response_Intake!$Y:$Y,Response_Intake!$B:$B,$A19,Response_Intake!$BA:$BA,"Self"),"")</f>
        <v>4</v>
      </c>
      <c r="E19" s="1">
        <f>IFERROR(AVERAGEIFS(Response_Intake!$Y:$Y,Response_Intake!$B:$B,$A19,Response_Intake!$BA:$BA,"&lt;&gt;Self",Response_Intake!$BA:$BA,"&lt;&gt;"),"")</f>
        <v>4.333333333</v>
      </c>
      <c r="F19" s="1">
        <f>IFERROR(AVERAGEIFS(Response_Intake!$Y:$Y,Response_Intake!$B:$B,$A19,Response_Intake!$BA:$BA,"Close Relationship"),"")</f>
        <v>4</v>
      </c>
      <c r="G19" s="1">
        <f>IFERROR(AVERAGEIFS(Response_Intake!$Y:$Y,Response_Intake!$B:$B,$A19,Response_Intake!$BA:$BA,"Ministry / Team"),"")</f>
        <v>5</v>
      </c>
      <c r="H19" s="1">
        <f>IFERROR(AVERAGEIFS(Response_Intake!$Y:$Y,Response_Intake!$B:$B,$A19,Response_Intake!$BA:$BA,"Mentor / Leader"),"")</f>
        <v>4</v>
      </c>
      <c r="I19" s="1">
        <f t="shared" si="1"/>
        <v>4.333333333</v>
      </c>
      <c r="J19" s="1">
        <f t="shared" si="2"/>
        <v>0.3333333333</v>
      </c>
      <c r="K19" s="1" t="str">
        <f t="shared" si="3"/>
        <v>Aligned</v>
      </c>
      <c r="L19" s="1" t="str">
        <f t="shared" si="4"/>
        <v>Self and observers are generally aligned.</v>
      </c>
    </row>
    <row r="20">
      <c r="A20" s="3" t="s">
        <v>274</v>
      </c>
      <c r="B20" s="3" t="s">
        <v>196</v>
      </c>
      <c r="C20" s="3" t="s">
        <v>120</v>
      </c>
      <c r="D20" s="1">
        <f>IFERROR(AVERAGEIFS(Response_Intake!$Z:$Z,Response_Intake!$B:$B,$A20,Response_Intake!$BA:$BA,"Self"),"")</f>
        <v>5</v>
      </c>
      <c r="E20" s="1">
        <f>IFERROR(AVERAGEIFS(Response_Intake!$Z:$Z,Response_Intake!$B:$B,$A20,Response_Intake!$BA:$BA,"&lt;&gt;Self",Response_Intake!$BA:$BA,"&lt;&gt;"),"")</f>
        <v>5</v>
      </c>
      <c r="F20" s="1">
        <f>IFERROR(AVERAGEIFS(Response_Intake!$Z:$Z,Response_Intake!$B:$B,$A20,Response_Intake!$BA:$BA,"Close Relationship"),"")</f>
        <v>5</v>
      </c>
      <c r="G20" s="1">
        <f>IFERROR(AVERAGEIFS(Response_Intake!$Z:$Z,Response_Intake!$B:$B,$A20,Response_Intake!$BA:$BA,"Ministry / Team"),"")</f>
        <v>5</v>
      </c>
      <c r="H20" s="1">
        <f>IFERROR(AVERAGEIFS(Response_Intake!$Z:$Z,Response_Intake!$B:$B,$A20,Response_Intake!$BA:$BA,"Mentor / Leader"),"")</f>
        <v>5</v>
      </c>
      <c r="I20" s="1">
        <f t="shared" si="1"/>
        <v>5</v>
      </c>
      <c r="J20" s="1">
        <f t="shared" si="2"/>
        <v>0</v>
      </c>
      <c r="K20" s="1" t="str">
        <f t="shared" si="3"/>
        <v>Aligned</v>
      </c>
      <c r="L20" s="1" t="str">
        <f t="shared" si="4"/>
        <v>Self and observers are generally aligned.</v>
      </c>
    </row>
    <row r="21">
      <c r="A21" s="3" t="s">
        <v>274</v>
      </c>
      <c r="B21" s="3" t="s">
        <v>200</v>
      </c>
      <c r="C21" s="3" t="s">
        <v>120</v>
      </c>
      <c r="D21" s="1">
        <f>IFERROR(AVERAGEIFS(Response_Intake!$AA:$AA,Response_Intake!$B:$B,$A21,Response_Intake!$BA:$BA,"Self"),"")</f>
        <v>4</v>
      </c>
      <c r="E21" s="1">
        <f>IFERROR(AVERAGEIFS(Response_Intake!$AA:$AA,Response_Intake!$B:$B,$A21,Response_Intake!$BA:$BA,"&lt;&gt;Self",Response_Intake!$BA:$BA,"&lt;&gt;"),"")</f>
        <v>4.666666667</v>
      </c>
      <c r="F21" s="1">
        <f>IFERROR(AVERAGEIFS(Response_Intake!$AA:$AA,Response_Intake!$B:$B,$A21,Response_Intake!$BA:$BA,"Close Relationship"),"")</f>
        <v>4</v>
      </c>
      <c r="G21" s="1">
        <f>IFERROR(AVERAGEIFS(Response_Intake!$AA:$AA,Response_Intake!$B:$B,$A21,Response_Intake!$BA:$BA,"Ministry / Team"),"")</f>
        <v>5</v>
      </c>
      <c r="H21" s="1">
        <f>IFERROR(AVERAGEIFS(Response_Intake!$AA:$AA,Response_Intake!$B:$B,$A21,Response_Intake!$BA:$BA,"Mentor / Leader"),"")</f>
        <v>5</v>
      </c>
      <c r="I21" s="1">
        <f t="shared" si="1"/>
        <v>4.666666667</v>
      </c>
      <c r="J21" s="1">
        <f t="shared" si="2"/>
        <v>0.6666666667</v>
      </c>
      <c r="K21" s="1" t="str">
        <f t="shared" si="3"/>
        <v>Aligned</v>
      </c>
      <c r="L21" s="1" t="str">
        <f t="shared" si="4"/>
        <v>Self and observers are generally aligned.</v>
      </c>
    </row>
    <row r="22">
      <c r="A22" s="3" t="s">
        <v>274</v>
      </c>
      <c r="B22" s="3" t="s">
        <v>203</v>
      </c>
      <c r="C22" s="3" t="s">
        <v>120</v>
      </c>
      <c r="D22" s="1">
        <f>IFERROR(AVERAGEIFS(Response_Intake!$AB:$AB,Response_Intake!$B:$B,$A22,Response_Intake!$BA:$BA,"Self"),"")</f>
        <v>4</v>
      </c>
      <c r="E22" s="1">
        <f>IFERROR(AVERAGEIFS(Response_Intake!$AB:$AB,Response_Intake!$B:$B,$A22,Response_Intake!$BA:$BA,"&lt;&gt;Self",Response_Intake!$BA:$BA,"&lt;&gt;"),"")</f>
        <v>4.666666667</v>
      </c>
      <c r="F22" s="1">
        <f>IFERROR(AVERAGEIFS(Response_Intake!$AB:$AB,Response_Intake!$B:$B,$A22,Response_Intake!$BA:$BA,"Close Relationship"),"")</f>
        <v>5</v>
      </c>
      <c r="G22" s="1">
        <f>IFERROR(AVERAGEIFS(Response_Intake!$AB:$AB,Response_Intake!$B:$B,$A22,Response_Intake!$BA:$BA,"Ministry / Team"),"")</f>
        <v>4</v>
      </c>
      <c r="H22" s="1">
        <f>IFERROR(AVERAGEIFS(Response_Intake!$AB:$AB,Response_Intake!$B:$B,$A22,Response_Intake!$BA:$BA,"Mentor / Leader"),"")</f>
        <v>5</v>
      </c>
      <c r="I22" s="1">
        <f t="shared" si="1"/>
        <v>4.666666667</v>
      </c>
      <c r="J22" s="1">
        <f t="shared" si="2"/>
        <v>0.6666666667</v>
      </c>
      <c r="K22" s="1" t="str">
        <f t="shared" si="3"/>
        <v>Aligned</v>
      </c>
      <c r="L22" s="1" t="str">
        <f t="shared" si="4"/>
        <v>Self and observers are generally aligned.</v>
      </c>
    </row>
    <row r="23">
      <c r="A23" s="3" t="s">
        <v>274</v>
      </c>
      <c r="B23" s="3" t="s">
        <v>206</v>
      </c>
      <c r="C23" s="3" t="s">
        <v>124</v>
      </c>
      <c r="D23" s="1">
        <f>IFERROR(AVERAGEIFS(Response_Intake!$AC:$AC,Response_Intake!$B:$B,$A23,Response_Intake!$BA:$BA,"Self"),"")</f>
        <v>3</v>
      </c>
      <c r="E23" s="1">
        <f>IFERROR(AVERAGEIFS(Response_Intake!$AC:$AC,Response_Intake!$B:$B,$A23,Response_Intake!$BA:$BA,"&lt;&gt;Self",Response_Intake!$BA:$BA,"&lt;&gt;"),"")</f>
        <v>4</v>
      </c>
      <c r="F23" s="1">
        <f>IFERROR(AVERAGEIFS(Response_Intake!$AC:$AC,Response_Intake!$B:$B,$A23,Response_Intake!$BA:$BA,"Close Relationship"),"")</f>
        <v>4</v>
      </c>
      <c r="G23" s="1">
        <f>IFERROR(AVERAGEIFS(Response_Intake!$AC:$AC,Response_Intake!$B:$B,$A23,Response_Intake!$BA:$BA,"Ministry / Team"),"")</f>
        <v>4</v>
      </c>
      <c r="H23" s="1">
        <f>IFERROR(AVERAGEIFS(Response_Intake!$AC:$AC,Response_Intake!$B:$B,$A23,Response_Intake!$BA:$BA,"Mentor / Leader"),"")</f>
        <v>4</v>
      </c>
      <c r="I23" s="1">
        <f t="shared" si="1"/>
        <v>4</v>
      </c>
      <c r="J23" s="1">
        <f t="shared" si="2"/>
        <v>1</v>
      </c>
      <c r="K23" s="1" t="str">
        <f t="shared" si="3"/>
        <v>Encouragement Others See</v>
      </c>
      <c r="L23" s="1" t="str">
        <f t="shared" si="4"/>
        <v>Observers see this more strongly than the participant may realize.</v>
      </c>
    </row>
    <row r="24">
      <c r="A24" s="3" t="s">
        <v>274</v>
      </c>
      <c r="B24" s="3" t="s">
        <v>210</v>
      </c>
      <c r="C24" s="3" t="s">
        <v>124</v>
      </c>
      <c r="D24" s="1">
        <f>IFERROR(AVERAGEIFS(Response_Intake!$AD:$AD,Response_Intake!$B:$B,$A24,Response_Intake!$BA:$BA,"Self"),"")</f>
        <v>4</v>
      </c>
      <c r="E24" s="1">
        <f>IFERROR(AVERAGEIFS(Response_Intake!$AD:$AD,Response_Intake!$B:$B,$A24,Response_Intake!$BA:$BA,"&lt;&gt;Self",Response_Intake!$BA:$BA,"&lt;&gt;"),"")</f>
        <v>4.333333333</v>
      </c>
      <c r="F24" s="1">
        <f>IFERROR(AVERAGEIFS(Response_Intake!$AD:$AD,Response_Intake!$B:$B,$A24,Response_Intake!$BA:$BA,"Close Relationship"),"")</f>
        <v>4</v>
      </c>
      <c r="G24" s="1">
        <f>IFERROR(AVERAGEIFS(Response_Intake!$AD:$AD,Response_Intake!$B:$B,$A24,Response_Intake!$BA:$BA,"Ministry / Team"),"")</f>
        <v>4</v>
      </c>
      <c r="H24" s="1">
        <f>IFERROR(AVERAGEIFS(Response_Intake!$AD:$AD,Response_Intake!$B:$B,$A24,Response_Intake!$BA:$BA,"Mentor / Leader"),"")</f>
        <v>5</v>
      </c>
      <c r="I24" s="1">
        <f t="shared" si="1"/>
        <v>4.333333333</v>
      </c>
      <c r="J24" s="1">
        <f t="shared" si="2"/>
        <v>0.3333333333</v>
      </c>
      <c r="K24" s="1" t="str">
        <f t="shared" si="3"/>
        <v>Aligned</v>
      </c>
      <c r="L24" s="1" t="str">
        <f t="shared" si="4"/>
        <v>Self and observers are generally aligned.</v>
      </c>
    </row>
    <row r="25">
      <c r="A25" s="3" t="s">
        <v>274</v>
      </c>
      <c r="B25" s="3" t="s">
        <v>213</v>
      </c>
      <c r="C25" s="3" t="s">
        <v>124</v>
      </c>
      <c r="D25" s="1">
        <f>IFERROR(AVERAGEIFS(Response_Intake!$AE:$AE,Response_Intake!$B:$B,$A25,Response_Intake!$BA:$BA,"Self"),"")</f>
        <v>3</v>
      </c>
      <c r="E25" s="1">
        <f>IFERROR(AVERAGEIFS(Response_Intake!$AE:$AE,Response_Intake!$B:$B,$A25,Response_Intake!$BA:$BA,"&lt;&gt;Self",Response_Intake!$BA:$BA,"&lt;&gt;"),"")</f>
        <v>4</v>
      </c>
      <c r="F25" s="1">
        <f>IFERROR(AVERAGEIFS(Response_Intake!$AE:$AE,Response_Intake!$B:$B,$A25,Response_Intake!$BA:$BA,"Close Relationship"),"")</f>
        <v>4</v>
      </c>
      <c r="G25" s="1">
        <f>IFERROR(AVERAGEIFS(Response_Intake!$AE:$AE,Response_Intake!$B:$B,$A25,Response_Intake!$BA:$BA,"Ministry / Team"),"")</f>
        <v>4</v>
      </c>
      <c r="H25" s="1">
        <f>IFERROR(AVERAGEIFS(Response_Intake!$AE:$AE,Response_Intake!$B:$B,$A25,Response_Intake!$BA:$BA,"Mentor / Leader"),"")</f>
        <v>4</v>
      </c>
      <c r="I25" s="1">
        <f t="shared" si="1"/>
        <v>4</v>
      </c>
      <c r="J25" s="1">
        <f t="shared" si="2"/>
        <v>1</v>
      </c>
      <c r="K25" s="1" t="str">
        <f t="shared" si="3"/>
        <v>Encouragement Others See</v>
      </c>
      <c r="L25" s="1" t="str">
        <f t="shared" si="4"/>
        <v>Observers see this more strongly than the participant may realize.</v>
      </c>
    </row>
    <row r="26">
      <c r="A26" s="3" t="s">
        <v>274</v>
      </c>
      <c r="B26" s="3" t="s">
        <v>216</v>
      </c>
      <c r="C26" s="3" t="s">
        <v>277</v>
      </c>
      <c r="D26" s="1">
        <f>IFERROR(AVERAGEIFS(Response_Intake!$AF:$AF,Response_Intake!$B:$B,$A26,Response_Intake!$BA:$BA,"Self"),"")</f>
        <v>3</v>
      </c>
      <c r="E26" s="1">
        <f>IFERROR(AVERAGEIFS(Response_Intake!$AF:$AF,Response_Intake!$B:$B,$A26,Response_Intake!$BA:$BA,"&lt;&gt;Self",Response_Intake!$BA:$BA,"&lt;&gt;"),"")</f>
        <v>3.333333333</v>
      </c>
      <c r="F26" s="1">
        <f>IFERROR(AVERAGEIFS(Response_Intake!$AF:$AF,Response_Intake!$B:$B,$A26,Response_Intake!$BA:$BA,"Close Relationship"),"")</f>
        <v>3</v>
      </c>
      <c r="G26" s="1">
        <f>IFERROR(AVERAGEIFS(Response_Intake!$AF:$AF,Response_Intake!$B:$B,$A26,Response_Intake!$BA:$BA,"Ministry / Team"),"")</f>
        <v>3</v>
      </c>
      <c r="H26" s="1">
        <f>IFERROR(AVERAGEIFS(Response_Intake!$AF:$AF,Response_Intake!$B:$B,$A26,Response_Intake!$BA:$BA,"Mentor / Leader"),"")</f>
        <v>4</v>
      </c>
      <c r="I26" s="1">
        <f t="shared" si="1"/>
        <v>3.333333333</v>
      </c>
      <c r="J26" s="1">
        <f t="shared" si="2"/>
        <v>0.3333333333</v>
      </c>
      <c r="K26" s="1" t="str">
        <f t="shared" si="3"/>
        <v>Aligned</v>
      </c>
      <c r="L26" s="1" t="str">
        <f t="shared" si="4"/>
        <v>Self and observers are generally aligned.</v>
      </c>
    </row>
    <row r="27">
      <c r="A27" s="3" t="s">
        <v>274</v>
      </c>
      <c r="B27" s="3" t="s">
        <v>220</v>
      </c>
      <c r="C27" s="3" t="s">
        <v>277</v>
      </c>
      <c r="D27" s="1">
        <f>IFERROR(AVERAGEIFS(Response_Intake!$AG:$AG,Response_Intake!$B:$B,$A27,Response_Intake!$BA:$BA,"Self"),"")</f>
        <v>4</v>
      </c>
      <c r="E27" s="1">
        <f>IFERROR(AVERAGEIFS(Response_Intake!$AG:$AG,Response_Intake!$B:$B,$A27,Response_Intake!$BA:$BA,"&lt;&gt;Self",Response_Intake!$BA:$BA,"&lt;&gt;"),"")</f>
        <v>3.666666667</v>
      </c>
      <c r="F27" s="1">
        <f>IFERROR(AVERAGEIFS(Response_Intake!$AG:$AG,Response_Intake!$B:$B,$A27,Response_Intake!$BA:$BA,"Close Relationship"),"")</f>
        <v>3</v>
      </c>
      <c r="G27" s="1">
        <f>IFERROR(AVERAGEIFS(Response_Intake!$AG:$AG,Response_Intake!$B:$B,$A27,Response_Intake!$BA:$BA,"Ministry / Team"),"")</f>
        <v>4</v>
      </c>
      <c r="H27" s="1">
        <f>IFERROR(AVERAGEIFS(Response_Intake!$AG:$AG,Response_Intake!$B:$B,$A27,Response_Intake!$BA:$BA,"Mentor / Leader"),"")</f>
        <v>4</v>
      </c>
      <c r="I27" s="1">
        <f t="shared" si="1"/>
        <v>3.666666667</v>
      </c>
      <c r="J27" s="1">
        <f t="shared" si="2"/>
        <v>-0.3333333333</v>
      </c>
      <c r="K27" s="1" t="str">
        <f t="shared" si="3"/>
        <v>Aligned</v>
      </c>
      <c r="L27" s="1" t="str">
        <f t="shared" si="4"/>
        <v>Self and observers are generally aligned.</v>
      </c>
    </row>
    <row r="28">
      <c r="A28" s="3" t="s">
        <v>274</v>
      </c>
      <c r="B28" s="3" t="s">
        <v>223</v>
      </c>
      <c r="C28" s="3" t="s">
        <v>277</v>
      </c>
      <c r="D28" s="1">
        <f>IFERROR(AVERAGEIFS(Response_Intake!$AH:$AH,Response_Intake!$B:$B,$A28,Response_Intake!$BA:$BA,"Self"),"")</f>
        <v>3</v>
      </c>
      <c r="E28" s="1">
        <f>IFERROR(AVERAGEIFS(Response_Intake!$AH:$AH,Response_Intake!$B:$B,$A28,Response_Intake!$BA:$BA,"&lt;&gt;Self",Response_Intake!$BA:$BA,"&lt;&gt;"),"")</f>
        <v>3.666666667</v>
      </c>
      <c r="F28" s="1">
        <f>IFERROR(AVERAGEIFS(Response_Intake!$AH:$AH,Response_Intake!$B:$B,$A28,Response_Intake!$BA:$BA,"Close Relationship"),"")</f>
        <v>4</v>
      </c>
      <c r="G28" s="1">
        <f>IFERROR(AVERAGEIFS(Response_Intake!$AH:$AH,Response_Intake!$B:$B,$A28,Response_Intake!$BA:$BA,"Ministry / Team"),"")</f>
        <v>3</v>
      </c>
      <c r="H28" s="1">
        <f>IFERROR(AVERAGEIFS(Response_Intake!$AH:$AH,Response_Intake!$B:$B,$A28,Response_Intake!$BA:$BA,"Mentor / Leader"),"")</f>
        <v>4</v>
      </c>
      <c r="I28" s="1">
        <f t="shared" si="1"/>
        <v>3.666666667</v>
      </c>
      <c r="J28" s="1">
        <f t="shared" si="2"/>
        <v>0.6666666667</v>
      </c>
      <c r="K28" s="1" t="str">
        <f t="shared" si="3"/>
        <v>Aligned</v>
      </c>
      <c r="L28" s="1" t="str">
        <f t="shared" si="4"/>
        <v>Self and observers are generally aligned.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2" t="s">
        <v>226</v>
      </c>
      <c r="B1" s="2" t="s">
        <v>92</v>
      </c>
      <c r="C1" s="2" t="s">
        <v>435</v>
      </c>
      <c r="D1" s="2" t="s">
        <v>436</v>
      </c>
      <c r="E1" s="2" t="s">
        <v>437</v>
      </c>
      <c r="F1" s="2" t="s">
        <v>438</v>
      </c>
      <c r="G1" s="2" t="s">
        <v>439</v>
      </c>
      <c r="H1" s="2" t="s">
        <v>440</v>
      </c>
      <c r="I1" s="2" t="s">
        <v>441</v>
      </c>
      <c r="J1" s="2" t="s">
        <v>442</v>
      </c>
      <c r="K1" s="2" t="s">
        <v>443</v>
      </c>
      <c r="L1" s="2" t="s">
        <v>444</v>
      </c>
      <c r="M1" s="2" t="s">
        <v>445</v>
      </c>
      <c r="N1" s="2" t="s">
        <v>446</v>
      </c>
    </row>
    <row r="2">
      <c r="A2" s="3" t="s">
        <v>274</v>
      </c>
      <c r="B2" s="3" t="s">
        <v>96</v>
      </c>
      <c r="C2" s="1">
        <f>IFERROR(AVERAGEIFS(Response_Intake!$AR:$AR,Response_Intake!$B:$B,$A2,Response_Intake!$BA:$BA,"Self"),"")</f>
        <v>4.333333333</v>
      </c>
      <c r="D2" s="1">
        <f>IFERROR(AVERAGEIFS(Response_Intake!$AR:$AR,Response_Intake!$B:$B,$A2,Response_Intake!$BA:$BA,"&lt;&gt;Self",Response_Intake!$BA:$BA,"&lt;&gt;"),"")</f>
        <v>4.555555556</v>
      </c>
      <c r="E2" s="1">
        <f>IFERROR(AVERAGEIFS(Response_Intake!$BG:$BG,Response_Intake!$B:$B,$A2,Response_Intake!$BA:$BA,"Self"),"")</f>
        <v>4</v>
      </c>
      <c r="F2" s="1">
        <f>IFERROR(AVERAGEIFS(Response_Intake!$BG:$BG,Response_Intake!$B:$B,$A2,Response_Intake!$BA:$BA,"&lt;&gt;Self",Response_Intake!$BA:$BA,"&lt;&gt;"),"")</f>
        <v>4.333333333</v>
      </c>
      <c r="G2" s="1">
        <f t="shared" ref="G2:G10" si="1">IF(OR(C2="",D2=""),"",D2-C2)</f>
        <v>0.2222222222</v>
      </c>
      <c r="H2" s="1">
        <f t="shared" ref="H2:H10" si="2">IF(OR(E2="",F2=""),"",F2-E2)</f>
        <v>0.3333333333</v>
      </c>
      <c r="I2" s="1">
        <f t="shared" ref="I2:I10" si="3">IF(OR(C2="",E2=""),"",C2-E2)</f>
        <v>0.3333333333</v>
      </c>
      <c r="J2" s="1" t="str">
        <f t="shared" ref="J2:J10" si="4">IF(OR(C2="",D2=""),"",IF(AND(C2&gt;=4,D2&gt;=4),"Shared Strength",IF(G2&gt;=1,"Encouragement Others See",IF(G2&lt;=-1,"Growth Invitation",IF(AND(C2&lt;3,D2&lt;3),"Aligned Developing","Steady Developing")))))</f>
        <v>Shared Strength</v>
      </c>
      <c r="K2" s="1">
        <f t="shared" ref="K2:K10" si="5">IF(C2="","",RANK(C2,$C$2:$C$10,0))</f>
        <v>2</v>
      </c>
      <c r="L2" s="1">
        <f t="shared" ref="L2:L10" si="6">IF(D2="","",RANK(D2,$D$2:$D$10,0))</f>
        <v>3</v>
      </c>
      <c r="M2" s="4">
        <v>1.0</v>
      </c>
      <c r="N2" s="1" t="str">
        <f t="shared" ref="N2:N10" si="7">IF(J2="Shared Strength",B2&amp;" is consistently visible to both self and observers.",IF(J2="Encouragement Others See",B2&amp;" may be more visible to others than the participant realizes.",IF(J2="Growth Invitation",B2&amp;" is a current growth invitation for reflection and formation.",B2&amp;" appears to be developing with room for continued formation.")))</f>
        <v>Love is consistently visible to both self and observers.</v>
      </c>
    </row>
    <row r="3">
      <c r="A3" s="3" t="s">
        <v>274</v>
      </c>
      <c r="B3" s="3" t="s">
        <v>100</v>
      </c>
      <c r="C3" s="1">
        <f>IFERROR(AVERAGEIFS(Response_Intake!$AS:$AS,Response_Intake!$B:$B,$A3,Response_Intake!$BA:$BA,"Self"),"")</f>
        <v>3.666666667</v>
      </c>
      <c r="D3" s="1">
        <f>IFERROR(AVERAGEIFS(Response_Intake!$AS:$AS,Response_Intake!$B:$B,$A3,Response_Intake!$BA:$BA,"&lt;&gt;Self",Response_Intake!$BA:$BA,"&lt;&gt;"),"")</f>
        <v>3.777777778</v>
      </c>
      <c r="E3" s="1">
        <f>IFERROR(AVERAGEIFS(Response_Intake!$BH:$BH,Response_Intake!$B:$B,$A3,Response_Intake!$BA:$BA,"Self"),"")</f>
        <v>3</v>
      </c>
      <c r="F3" s="1">
        <f>IFERROR(AVERAGEIFS(Response_Intake!$BH:$BH,Response_Intake!$B:$B,$A3,Response_Intake!$BA:$BA,"&lt;&gt;Self",Response_Intake!$BA:$BA,"&lt;&gt;"),"")</f>
        <v>3.666666667</v>
      </c>
      <c r="G3" s="1">
        <f t="shared" si="1"/>
        <v>0.1111111111</v>
      </c>
      <c r="H3" s="1">
        <f t="shared" si="2"/>
        <v>0.6666666667</v>
      </c>
      <c r="I3" s="1">
        <f t="shared" si="3"/>
        <v>0.6666666667</v>
      </c>
      <c r="J3" s="1" t="str">
        <f t="shared" si="4"/>
        <v>Steady Developing</v>
      </c>
      <c r="K3" s="1">
        <f t="shared" si="5"/>
        <v>6</v>
      </c>
      <c r="L3" s="1">
        <f t="shared" si="6"/>
        <v>7</v>
      </c>
      <c r="M3" s="4">
        <v>2.0</v>
      </c>
      <c r="N3" s="1" t="str">
        <f t="shared" si="7"/>
        <v>Joy appears to be developing with room for continued formation.</v>
      </c>
    </row>
    <row r="4">
      <c r="A4" s="3" t="s">
        <v>274</v>
      </c>
      <c r="B4" s="3" t="s">
        <v>104</v>
      </c>
      <c r="C4" s="1">
        <f>IFERROR(AVERAGEIFS(Response_Intake!$AT:$AT,Response_Intake!$B:$B,$A4,Response_Intake!$BA:$BA,"Self"),"")</f>
        <v>4.333333333</v>
      </c>
      <c r="D4" s="1">
        <f>IFERROR(AVERAGEIFS(Response_Intake!$AT:$AT,Response_Intake!$B:$B,$A4,Response_Intake!$BA:$BA,"&lt;&gt;Self",Response_Intake!$BA:$BA,"&lt;&gt;"),"")</f>
        <v>4.444444444</v>
      </c>
      <c r="E4" s="1">
        <f>IFERROR(AVERAGEIFS(Response_Intake!$BI:$BI,Response_Intake!$B:$B,$A4,Response_Intake!$BA:$BA,"Self"),"")</f>
        <v>4</v>
      </c>
      <c r="F4" s="1">
        <f>IFERROR(AVERAGEIFS(Response_Intake!$BI:$BI,Response_Intake!$B:$B,$A4,Response_Intake!$BA:$BA,"&lt;&gt;Self",Response_Intake!$BA:$BA,"&lt;&gt;"),"")</f>
        <v>4.333333333</v>
      </c>
      <c r="G4" s="1">
        <f t="shared" si="1"/>
        <v>0.1111111111</v>
      </c>
      <c r="H4" s="1">
        <f t="shared" si="2"/>
        <v>0.3333333333</v>
      </c>
      <c r="I4" s="1">
        <f t="shared" si="3"/>
        <v>0.3333333333</v>
      </c>
      <c r="J4" s="1" t="str">
        <f t="shared" si="4"/>
        <v>Shared Strength</v>
      </c>
      <c r="K4" s="1">
        <f t="shared" si="5"/>
        <v>2</v>
      </c>
      <c r="L4" s="1">
        <f t="shared" si="6"/>
        <v>4</v>
      </c>
      <c r="M4" s="4">
        <v>3.0</v>
      </c>
      <c r="N4" s="1" t="str">
        <f t="shared" si="7"/>
        <v>Peace is consistently visible to both self and observers.</v>
      </c>
    </row>
    <row r="5">
      <c r="A5" s="3" t="s">
        <v>274</v>
      </c>
      <c r="B5" s="3" t="s">
        <v>108</v>
      </c>
      <c r="C5" s="1">
        <f>IFERROR(AVERAGEIFS(Response_Intake!$AU:$AU,Response_Intake!$B:$B,$A5,Response_Intake!$BA:$BA,"Self"),"")</f>
        <v>3.333333333</v>
      </c>
      <c r="D5" s="1">
        <f>IFERROR(AVERAGEIFS(Response_Intake!$AU:$AU,Response_Intake!$B:$B,$A5,Response_Intake!$BA:$BA,"&lt;&gt;Self",Response_Intake!$BA:$BA,"&lt;&gt;"),"")</f>
        <v>3.333333333</v>
      </c>
      <c r="E5" s="1">
        <f>IFERROR(AVERAGEIFS(Response_Intake!$BJ:$BJ,Response_Intake!$B:$B,$A5,Response_Intake!$BA:$BA,"Self"),"")</f>
        <v>3</v>
      </c>
      <c r="F5" s="1">
        <f>IFERROR(AVERAGEIFS(Response_Intake!$BJ:$BJ,Response_Intake!$B:$B,$A5,Response_Intake!$BA:$BA,"&lt;&gt;Self",Response_Intake!$BA:$BA,"&lt;&gt;"),"")</f>
        <v>3</v>
      </c>
      <c r="G5" s="1">
        <f t="shared" si="1"/>
        <v>0</v>
      </c>
      <c r="H5" s="1">
        <f t="shared" si="2"/>
        <v>0</v>
      </c>
      <c r="I5" s="1">
        <f t="shared" si="3"/>
        <v>0.3333333333</v>
      </c>
      <c r="J5" s="1" t="str">
        <f t="shared" si="4"/>
        <v>Steady Developing</v>
      </c>
      <c r="K5" s="1">
        <f t="shared" si="5"/>
        <v>7</v>
      </c>
      <c r="L5" s="1">
        <f t="shared" si="6"/>
        <v>9</v>
      </c>
      <c r="M5" s="4">
        <v>4.0</v>
      </c>
      <c r="N5" s="1" t="str">
        <f t="shared" si="7"/>
        <v>Patience appears to be developing with room for continued formation.</v>
      </c>
    </row>
    <row r="6">
      <c r="A6" s="3" t="s">
        <v>274</v>
      </c>
      <c r="B6" s="3" t="s">
        <v>112</v>
      </c>
      <c r="C6" s="1">
        <f>IFERROR(AVERAGEIFS(Response_Intake!$AV:$AV,Response_Intake!$B:$B,$A6,Response_Intake!$BA:$BA,"Self"),"")</f>
        <v>4.666666667</v>
      </c>
      <c r="D6" s="1">
        <f>IFERROR(AVERAGEIFS(Response_Intake!$AV:$AV,Response_Intake!$B:$B,$A6,Response_Intake!$BA:$BA,"&lt;&gt;Self",Response_Intake!$BA:$BA,"&lt;&gt;"),"")</f>
        <v>4.666666667</v>
      </c>
      <c r="E6" s="1">
        <f>IFERROR(AVERAGEIFS(Response_Intake!$BK:$BK,Response_Intake!$B:$B,$A6,Response_Intake!$BA:$BA,"Self"),"")</f>
        <v>4</v>
      </c>
      <c r="F6" s="1">
        <f>IFERROR(AVERAGEIFS(Response_Intake!$BK:$BK,Response_Intake!$B:$B,$A6,Response_Intake!$BA:$BA,"&lt;&gt;Self",Response_Intake!$BA:$BA,"&lt;&gt;"),"")</f>
        <v>4.333333333</v>
      </c>
      <c r="G6" s="1">
        <f t="shared" si="1"/>
        <v>0</v>
      </c>
      <c r="H6" s="1">
        <f t="shared" si="2"/>
        <v>0.3333333333</v>
      </c>
      <c r="I6" s="1">
        <f t="shared" si="3"/>
        <v>0.6666666667</v>
      </c>
      <c r="J6" s="1" t="str">
        <f t="shared" si="4"/>
        <v>Shared Strength</v>
      </c>
      <c r="K6" s="1">
        <f t="shared" si="5"/>
        <v>1</v>
      </c>
      <c r="L6" s="1">
        <f t="shared" si="6"/>
        <v>2</v>
      </c>
      <c r="M6" s="4">
        <v>5.0</v>
      </c>
      <c r="N6" s="1" t="str">
        <f t="shared" si="7"/>
        <v>Kindness is consistently visible to both self and observers.</v>
      </c>
    </row>
    <row r="7">
      <c r="A7" s="3" t="s">
        <v>274</v>
      </c>
      <c r="B7" s="3" t="s">
        <v>116</v>
      </c>
      <c r="C7" s="1">
        <f>IFERROR(AVERAGEIFS(Response_Intake!$AW:$AW,Response_Intake!$B:$B,$A7,Response_Intake!$BA:$BA,"Self"),"")</f>
        <v>4</v>
      </c>
      <c r="D7" s="1">
        <f>IFERROR(AVERAGEIFS(Response_Intake!$AW:$AW,Response_Intake!$B:$B,$A7,Response_Intake!$BA:$BA,"&lt;&gt;Self",Response_Intake!$BA:$BA,"&lt;&gt;"),"")</f>
        <v>4.222222222</v>
      </c>
      <c r="E7" s="1">
        <f>IFERROR(AVERAGEIFS(Response_Intake!$BL:$BL,Response_Intake!$B:$B,$A7,Response_Intake!$BA:$BA,"Self"),"")</f>
        <v>4</v>
      </c>
      <c r="F7" s="1">
        <f>IFERROR(AVERAGEIFS(Response_Intake!$BL:$BL,Response_Intake!$B:$B,$A7,Response_Intake!$BA:$BA,"&lt;&gt;Self",Response_Intake!$BA:$BA,"&lt;&gt;"),"")</f>
        <v>4.333333333</v>
      </c>
      <c r="G7" s="1">
        <f t="shared" si="1"/>
        <v>0.2222222222</v>
      </c>
      <c r="H7" s="1">
        <f t="shared" si="2"/>
        <v>0.3333333333</v>
      </c>
      <c r="I7" s="1">
        <f t="shared" si="3"/>
        <v>0</v>
      </c>
      <c r="J7" s="1" t="str">
        <f t="shared" si="4"/>
        <v>Shared Strength</v>
      </c>
      <c r="K7" s="1">
        <f t="shared" si="5"/>
        <v>5</v>
      </c>
      <c r="L7" s="1">
        <f t="shared" si="6"/>
        <v>5</v>
      </c>
      <c r="M7" s="4">
        <v>6.0</v>
      </c>
      <c r="N7" s="1" t="str">
        <f t="shared" si="7"/>
        <v>Goodness is consistently visible to both self and observers.</v>
      </c>
    </row>
    <row r="8">
      <c r="A8" s="3" t="s">
        <v>274</v>
      </c>
      <c r="B8" s="3" t="s">
        <v>120</v>
      </c>
      <c r="C8" s="1">
        <f>IFERROR(AVERAGEIFS(Response_Intake!$AX:$AX,Response_Intake!$B:$B,$A8,Response_Intake!$BA:$BA,"Self"),"")</f>
        <v>4.333333333</v>
      </c>
      <c r="D8" s="1">
        <f>IFERROR(AVERAGEIFS(Response_Intake!$AX:$AX,Response_Intake!$B:$B,$A8,Response_Intake!$BA:$BA,"&lt;&gt;Self",Response_Intake!$BA:$BA,"&lt;&gt;"),"")</f>
        <v>4.777777778</v>
      </c>
      <c r="E8" s="1">
        <f>IFERROR(AVERAGEIFS(Response_Intake!$BM:$BM,Response_Intake!$B:$B,$A8,Response_Intake!$BA:$BA,"Self"),"")</f>
        <v>4</v>
      </c>
      <c r="F8" s="1">
        <f>IFERROR(AVERAGEIFS(Response_Intake!$BM:$BM,Response_Intake!$B:$B,$A8,Response_Intake!$BA:$BA,"&lt;&gt;Self",Response_Intake!$BA:$BA,"&lt;&gt;"),"")</f>
        <v>4.666666667</v>
      </c>
      <c r="G8" s="1">
        <f t="shared" si="1"/>
        <v>0.4444444444</v>
      </c>
      <c r="H8" s="1">
        <f t="shared" si="2"/>
        <v>0.6666666667</v>
      </c>
      <c r="I8" s="1">
        <f t="shared" si="3"/>
        <v>0.3333333333</v>
      </c>
      <c r="J8" s="1" t="str">
        <f t="shared" si="4"/>
        <v>Shared Strength</v>
      </c>
      <c r="K8" s="1">
        <f t="shared" si="5"/>
        <v>2</v>
      </c>
      <c r="L8" s="1">
        <f t="shared" si="6"/>
        <v>1</v>
      </c>
      <c r="M8" s="4">
        <v>7.0</v>
      </c>
      <c r="N8" s="1" t="str">
        <f t="shared" si="7"/>
        <v>Faithfulness is consistently visible to both self and observers.</v>
      </c>
    </row>
    <row r="9">
      <c r="A9" s="3" t="s">
        <v>274</v>
      </c>
      <c r="B9" s="3" t="s">
        <v>124</v>
      </c>
      <c r="C9" s="1">
        <f>IFERROR(AVERAGEIFS(Response_Intake!$AY:$AY,Response_Intake!$B:$B,$A9,Response_Intake!$BA:$BA,"Self"),"")</f>
        <v>3.333333333</v>
      </c>
      <c r="D9" s="1">
        <f>IFERROR(AVERAGEIFS(Response_Intake!$AY:$AY,Response_Intake!$B:$B,$A9,Response_Intake!$BA:$BA,"&lt;&gt;Self",Response_Intake!$BA:$BA,"&lt;&gt;"),"")</f>
        <v>4.111111111</v>
      </c>
      <c r="E9" s="1">
        <f>IFERROR(AVERAGEIFS(Response_Intake!$BN:$BN,Response_Intake!$B:$B,$A9,Response_Intake!$BA:$BA,"Self"),"")</f>
        <v>3</v>
      </c>
      <c r="F9" s="1">
        <f>IFERROR(AVERAGEIFS(Response_Intake!$BN:$BN,Response_Intake!$B:$B,$A9,Response_Intake!$BA:$BA,"&lt;&gt;Self",Response_Intake!$BA:$BA,"&lt;&gt;"),"")</f>
        <v>3.333333333</v>
      </c>
      <c r="G9" s="1">
        <f t="shared" si="1"/>
        <v>0.7777777778</v>
      </c>
      <c r="H9" s="1">
        <f t="shared" si="2"/>
        <v>0.3333333333</v>
      </c>
      <c r="I9" s="1">
        <f t="shared" si="3"/>
        <v>0.3333333333</v>
      </c>
      <c r="J9" s="1" t="str">
        <f t="shared" si="4"/>
        <v>Steady Developing</v>
      </c>
      <c r="K9" s="1">
        <f t="shared" si="5"/>
        <v>7</v>
      </c>
      <c r="L9" s="1">
        <f t="shared" si="6"/>
        <v>6</v>
      </c>
      <c r="M9" s="4">
        <v>8.0</v>
      </c>
      <c r="N9" s="1" t="str">
        <f t="shared" si="7"/>
        <v>Gentleness appears to be developing with room for continued formation.</v>
      </c>
    </row>
    <row r="10">
      <c r="A10" s="3" t="s">
        <v>274</v>
      </c>
      <c r="B10" s="3" t="s">
        <v>277</v>
      </c>
      <c r="C10" s="1">
        <f>IFERROR(AVERAGEIFS(Response_Intake!$AZ:$AZ,Response_Intake!$B:$B,$A10,Response_Intake!$BA:$BA,"Self"),"")</f>
        <v>3.333333333</v>
      </c>
      <c r="D10" s="1">
        <f>IFERROR(AVERAGEIFS(Response_Intake!$AZ:$AZ,Response_Intake!$B:$B,$A10,Response_Intake!$BA:$BA,"&lt;&gt;Self",Response_Intake!$BA:$BA,"&lt;&gt;"),"")</f>
        <v>3.555555556</v>
      </c>
      <c r="E10" s="1">
        <f>IFERROR(AVERAGEIFS(Response_Intake!$BO:$BO,Response_Intake!$B:$B,$A10,Response_Intake!$BA:$BA,"Self"),"")</f>
        <v>3</v>
      </c>
      <c r="F10" s="1">
        <f>IFERROR(AVERAGEIFS(Response_Intake!$BO:$BO,Response_Intake!$B:$B,$A10,Response_Intake!$BA:$BA,"&lt;&gt;Self",Response_Intake!$BA:$BA,"&lt;&gt;"),"")</f>
        <v>3</v>
      </c>
      <c r="G10" s="1">
        <f t="shared" si="1"/>
        <v>0.2222222222</v>
      </c>
      <c r="H10" s="1">
        <f t="shared" si="2"/>
        <v>0</v>
      </c>
      <c r="I10" s="1">
        <f t="shared" si="3"/>
        <v>0.3333333333</v>
      </c>
      <c r="J10" s="1" t="str">
        <f t="shared" si="4"/>
        <v>Steady Developing</v>
      </c>
      <c r="K10" s="1">
        <f t="shared" si="5"/>
        <v>7</v>
      </c>
      <c r="L10" s="1">
        <f t="shared" si="6"/>
        <v>8</v>
      </c>
      <c r="M10" s="4">
        <v>9.0</v>
      </c>
      <c r="N10" s="1" t="str">
        <f t="shared" si="7"/>
        <v>Self-control appears to be developing with room for continued formation.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2" t="s">
        <v>226</v>
      </c>
      <c r="B1" s="2" t="s">
        <v>255</v>
      </c>
      <c r="C1" s="2" t="s">
        <v>417</v>
      </c>
      <c r="D1" s="2" t="s">
        <v>71</v>
      </c>
      <c r="E1" s="2" t="s">
        <v>447</v>
      </c>
      <c r="F1" s="2" t="s">
        <v>448</v>
      </c>
      <c r="G1" s="2" t="s">
        <v>449</v>
      </c>
      <c r="H1" s="2" t="s">
        <v>420</v>
      </c>
    </row>
    <row r="2">
      <c r="A2" s="3" t="s">
        <v>274</v>
      </c>
      <c r="B2" s="3" t="s">
        <v>291</v>
      </c>
      <c r="C2" s="3" t="s">
        <v>287</v>
      </c>
      <c r="D2" s="3" t="s">
        <v>450</v>
      </c>
      <c r="E2" s="3" t="s">
        <v>294</v>
      </c>
      <c r="F2" s="3" t="s">
        <v>451</v>
      </c>
      <c r="G2" s="3" t="s">
        <v>292</v>
      </c>
      <c r="H2" s="3" t="s">
        <v>284</v>
      </c>
    </row>
    <row r="3">
      <c r="A3" s="3" t="s">
        <v>274</v>
      </c>
      <c r="B3" s="3" t="s">
        <v>303</v>
      </c>
      <c r="C3" s="3" t="s">
        <v>299</v>
      </c>
      <c r="D3" s="3" t="s">
        <v>452</v>
      </c>
      <c r="E3" s="3" t="s">
        <v>307</v>
      </c>
      <c r="F3" s="3" t="s">
        <v>451</v>
      </c>
      <c r="G3" s="3" t="s">
        <v>304</v>
      </c>
      <c r="H3" s="3" t="s">
        <v>296</v>
      </c>
    </row>
    <row r="4">
      <c r="A4" s="3" t="s">
        <v>274</v>
      </c>
      <c r="B4" s="3" t="s">
        <v>315</v>
      </c>
      <c r="C4" s="3" t="s">
        <v>311</v>
      </c>
      <c r="D4" s="3" t="s">
        <v>453</v>
      </c>
      <c r="E4" s="3" t="s">
        <v>318</v>
      </c>
      <c r="F4" s="3" t="s">
        <v>451</v>
      </c>
      <c r="G4" s="3" t="s">
        <v>316</v>
      </c>
      <c r="H4" s="3" t="s">
        <v>308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2" t="s">
        <v>226</v>
      </c>
      <c r="B1" s="2" t="s">
        <v>454</v>
      </c>
      <c r="C1" s="2" t="s">
        <v>255</v>
      </c>
      <c r="D1" s="2" t="s">
        <v>71</v>
      </c>
      <c r="E1" s="2" t="s">
        <v>447</v>
      </c>
      <c r="F1" s="2" t="s">
        <v>448</v>
      </c>
      <c r="G1" s="2" t="s">
        <v>449</v>
      </c>
      <c r="H1" s="2" t="s">
        <v>420</v>
      </c>
    </row>
    <row r="2">
      <c r="A2" s="3" t="s">
        <v>274</v>
      </c>
      <c r="B2" s="3" t="s">
        <v>73</v>
      </c>
      <c r="C2" s="3" t="s">
        <v>73</v>
      </c>
      <c r="D2" s="3" t="s">
        <v>455</v>
      </c>
      <c r="E2" s="3" t="s">
        <v>283</v>
      </c>
      <c r="F2" s="3" t="s">
        <v>451</v>
      </c>
      <c r="G2" s="3" t="s">
        <v>278</v>
      </c>
      <c r="H2" s="3" t="s">
        <v>273</v>
      </c>
    </row>
    <row r="3">
      <c r="A3" s="3" t="s">
        <v>274</v>
      </c>
      <c r="B3" s="3" t="s">
        <v>456</v>
      </c>
      <c r="C3" s="3" t="s">
        <v>291</v>
      </c>
      <c r="D3" s="3" t="s">
        <v>457</v>
      </c>
      <c r="E3" s="3" t="s">
        <v>290</v>
      </c>
      <c r="F3" s="3" t="s">
        <v>451</v>
      </c>
      <c r="G3" s="3" t="s">
        <v>292</v>
      </c>
      <c r="H3" s="3" t="s">
        <v>284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2" t="s">
        <v>226</v>
      </c>
      <c r="B1" s="2" t="s">
        <v>227</v>
      </c>
      <c r="C1" s="2" t="s">
        <v>228</v>
      </c>
      <c r="D1" s="2" t="s">
        <v>458</v>
      </c>
      <c r="E1" s="2" t="s">
        <v>459</v>
      </c>
      <c r="F1" s="2" t="s">
        <v>329</v>
      </c>
      <c r="G1" s="2" t="s">
        <v>460</v>
      </c>
      <c r="H1" s="2" t="s">
        <v>331</v>
      </c>
      <c r="I1" s="2" t="s">
        <v>461</v>
      </c>
      <c r="J1" s="2" t="s">
        <v>462</v>
      </c>
      <c r="K1" s="2" t="s">
        <v>463</v>
      </c>
      <c r="L1" s="2" t="s">
        <v>464</v>
      </c>
      <c r="M1" s="2" t="s">
        <v>259</v>
      </c>
      <c r="N1" s="2" t="s">
        <v>260</v>
      </c>
      <c r="O1" s="2" t="s">
        <v>465</v>
      </c>
      <c r="P1" s="2" t="s">
        <v>466</v>
      </c>
      <c r="Q1" s="2" t="s">
        <v>467</v>
      </c>
      <c r="R1" s="2" t="s">
        <v>468</v>
      </c>
      <c r="S1" s="5"/>
      <c r="T1" s="5"/>
    </row>
    <row r="2">
      <c r="A2" s="3" t="s">
        <v>274</v>
      </c>
      <c r="B2" s="1" t="str">
        <f>IFERROR(__xludf.DUMMYFUNCTION("INDEX(FILTER(Response_Intake!C:C,Response_Intake!B:B=A2,Response_Intake!BA:BA=""Self""),1)"),"Sample Person")</f>
        <v>Sample Person</v>
      </c>
      <c r="C2" s="1" t="str">
        <f>IFERROR(__xludf.DUMMYFUNCTION("INDEX(FILTER(Response_Intake!F:F,Response_Intake!B:B=A2,Response_Intake!BA:BA=""Self""),1)"),"sample@example.com")</f>
        <v>sample@example.com</v>
      </c>
      <c r="D2" s="1">
        <f>COUNTIF(Response_Intake!B:B,A2)</f>
        <v>4</v>
      </c>
      <c r="E2" s="1">
        <f>COUNTIFS(Response_Intake!B:B,A2,Response_Intake!BA:BA,"&lt;&gt;Self",Response_Intake!BA:BA,"&lt;&gt;")</f>
        <v>3</v>
      </c>
      <c r="F2" s="1">
        <f>IFERROR(__xludf.DUMMYFUNCTION("IFERROR(AVERAGE(FILTER(Fruit_Aggregates_360!C:C,Fruit_Aggregates_360!A:A=A2)),"""")"),3.9259259259259256)</f>
        <v>3.925925926</v>
      </c>
      <c r="G2" s="1">
        <f>IFERROR(__xludf.DUMMYFUNCTION("IFERROR(AVERAGE(FILTER(Fruit_Aggregates_360!D:D,Fruit_Aggregates_360!A:A=A2)),"""")"),4.160493827160494)</f>
        <v>4.160493827</v>
      </c>
      <c r="H2" s="1">
        <f>IF(OR(F2="",G2=""),"",G2-F2)</f>
        <v>0.2345679012</v>
      </c>
      <c r="I2" s="1" t="str">
        <f>IFERROR(__xludf.DUMMYFUNCTION("IFERROR(TEXTJOIN("", "",TRUE,QUERY(FILTER({Fruit_Aggregates_360!B:B,Fruit_Aggregates_360!D:D},Fruit_Aggregates_360!A:A=A2),""select Col1 order by Col2 desc limit 3"",0)),"""")"),"Faithfulness, Kindness, Love")</f>
        <v>Faithfulness, Kindness, Love</v>
      </c>
      <c r="J2" s="1" t="str">
        <f>IFERROR(__xludf.DUMMYFUNCTION("IFERROR(TEXTJOIN("", "",TRUE,FILTER(Fruit_Aggregates_360!B:B,Fruit_Aggregates_360!A:A=A2,Fruit_Aggregates_360!J:J=""Encouragement Others See"")),"""")"),"")</f>
        <v/>
      </c>
      <c r="K2" s="1" t="str">
        <f>IFERROR(__xludf.DUMMYFUNCTION("IFERROR(TEXTJOIN("", "",TRUE,FILTER(Fruit_Aggregates_360!B:B,Fruit_Aggregates_360!A:A=A2,Fruit_Aggregates_360!J:J=""Growth Invitation"")),"""")"),"")</f>
        <v/>
      </c>
      <c r="L2" s="1" t="str">
        <f>IFERROR(__xludf.DUMMYFUNCTION("IFERROR(TEXTJOIN("", "",TRUE,FILTER(Fruit_Aggregates_360!B:B,Fruit_Aggregates_360!A:A=A2,Fruit_Aggregates_360!I:I&gt;=1)),"""")"),"")</f>
        <v/>
      </c>
      <c r="M2" s="1" t="str">
        <f>IFERROR(__xludf.DUMMYFUNCTION("INDEX(FILTER(Response_Intake!BE:BE,Response_Intake!B:B=A2,Response_Intake!BA:BA=""Self""),1)"),"Shepherd")</f>
        <v>Shepherd</v>
      </c>
      <c r="N2" s="1" t="str">
        <f>IFERROR(__xludf.DUMMYFUNCTION("INDEX(FILTER(Response_Intake!BF:BF,Response_Intake!B:B=A2,Response_Intake!BA:BA=""Self""),1)"),"Steward")</f>
        <v>Steward</v>
      </c>
      <c r="O2" s="1" t="str">
        <f>B2&amp;" has "&amp;D2&amp;" total responses: 1 self and "&amp;E2&amp;" observer responses."</f>
        <v>Sample Person has 4 total responses: 1 self and 3 observer responses.</v>
      </c>
      <c r="P2" s="1" t="str">
        <f>IF(AND(D2&gt;=4,E2&gt;=3),"Yes","No")</f>
        <v>Yes</v>
      </c>
      <c r="Q2" s="1" t="str">
        <f>TEXT(TODAY(),"mmmm d, yyyy")</f>
        <v>July 17, 2026</v>
      </c>
      <c r="R2" s="3" t="s">
        <v>469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2" t="s">
        <v>226</v>
      </c>
      <c r="B1" s="2" t="s">
        <v>227</v>
      </c>
      <c r="C1" s="2" t="s">
        <v>228</v>
      </c>
      <c r="D1" s="2" t="s">
        <v>467</v>
      </c>
      <c r="E1" s="2" t="s">
        <v>465</v>
      </c>
      <c r="F1" s="2" t="s">
        <v>458</v>
      </c>
      <c r="G1" s="2" t="s">
        <v>459</v>
      </c>
      <c r="H1" s="2" t="s">
        <v>329</v>
      </c>
      <c r="I1" s="2" t="s">
        <v>460</v>
      </c>
      <c r="J1" s="2" t="s">
        <v>331</v>
      </c>
      <c r="K1" s="2" t="s">
        <v>461</v>
      </c>
      <c r="L1" s="2" t="s">
        <v>462</v>
      </c>
      <c r="M1" s="2" t="s">
        <v>463</v>
      </c>
      <c r="N1" s="2" t="s">
        <v>464</v>
      </c>
      <c r="O1" s="2" t="s">
        <v>259</v>
      </c>
      <c r="P1" s="2" t="s">
        <v>260</v>
      </c>
      <c r="Q1" s="2" t="s">
        <v>468</v>
      </c>
      <c r="R1" s="2" t="s">
        <v>470</v>
      </c>
      <c r="S1" s="2" t="s">
        <v>471</v>
      </c>
      <c r="T1" s="2" t="s">
        <v>472</v>
      </c>
      <c r="U1" s="2" t="s">
        <v>473</v>
      </c>
      <c r="V1" s="2" t="s">
        <v>474</v>
      </c>
      <c r="W1" s="2" t="s">
        <v>475</v>
      </c>
      <c r="X1" s="2" t="s">
        <v>476</v>
      </c>
      <c r="Y1" s="2" t="s">
        <v>477</v>
      </c>
      <c r="Z1" s="2" t="s">
        <v>478</v>
      </c>
      <c r="AA1" s="2" t="s">
        <v>479</v>
      </c>
      <c r="AB1" s="2" t="s">
        <v>480</v>
      </c>
      <c r="AC1" s="2" t="s">
        <v>481</v>
      </c>
      <c r="AD1" s="2" t="s">
        <v>482</v>
      </c>
      <c r="AE1" s="2" t="s">
        <v>483</v>
      </c>
      <c r="AF1" s="2" t="s">
        <v>484</v>
      </c>
      <c r="AG1" s="2" t="s">
        <v>485</v>
      </c>
      <c r="AH1" s="2" t="s">
        <v>486</v>
      </c>
      <c r="AI1" s="2" t="s">
        <v>487</v>
      </c>
      <c r="AJ1" s="2" t="s">
        <v>488</v>
      </c>
      <c r="AK1" s="2" t="s">
        <v>489</v>
      </c>
      <c r="AL1" s="2" t="s">
        <v>490</v>
      </c>
      <c r="AM1" s="2" t="s">
        <v>491</v>
      </c>
      <c r="AN1" s="2" t="s">
        <v>492</v>
      </c>
      <c r="AO1" s="2" t="s">
        <v>493</v>
      </c>
      <c r="AP1" s="2" t="s">
        <v>494</v>
      </c>
      <c r="AQ1" s="2" t="s">
        <v>495</v>
      </c>
      <c r="AR1" s="2" t="s">
        <v>496</v>
      </c>
      <c r="AS1" s="2" t="s">
        <v>497</v>
      </c>
      <c r="AT1" s="2" t="s">
        <v>498</v>
      </c>
      <c r="AU1" s="2" t="s">
        <v>499</v>
      </c>
      <c r="AV1" s="2" t="s">
        <v>500</v>
      </c>
      <c r="AW1" s="2" t="s">
        <v>501</v>
      </c>
      <c r="AX1" s="2" t="s">
        <v>502</v>
      </c>
      <c r="AY1" s="2" t="s">
        <v>503</v>
      </c>
      <c r="AZ1" s="2" t="s">
        <v>504</v>
      </c>
      <c r="BA1" s="2" t="s">
        <v>505</v>
      </c>
      <c r="BB1" s="2" t="s">
        <v>506</v>
      </c>
      <c r="BC1" s="2" t="s">
        <v>507</v>
      </c>
      <c r="BD1" s="2" t="s">
        <v>508</v>
      </c>
      <c r="BE1" s="2" t="s">
        <v>509</v>
      </c>
      <c r="BF1" s="2" t="s">
        <v>510</v>
      </c>
      <c r="BG1" s="2" t="s">
        <v>511</v>
      </c>
      <c r="BH1" s="2" t="s">
        <v>512</v>
      </c>
      <c r="BI1" s="2" t="s">
        <v>513</v>
      </c>
      <c r="BJ1" s="2" t="s">
        <v>514</v>
      </c>
      <c r="BK1" s="2" t="s">
        <v>515</v>
      </c>
      <c r="BL1" s="2" t="s">
        <v>516</v>
      </c>
      <c r="BM1" s="2" t="s">
        <v>517</v>
      </c>
      <c r="BN1" s="2" t="s">
        <v>518</v>
      </c>
      <c r="BO1" s="2" t="s">
        <v>519</v>
      </c>
      <c r="BP1" s="2" t="s">
        <v>520</v>
      </c>
      <c r="BQ1" s="2" t="s">
        <v>521</v>
      </c>
      <c r="BR1" s="2" t="s">
        <v>522</v>
      </c>
      <c r="BS1" s="2" t="s">
        <v>523</v>
      </c>
      <c r="BT1" s="2" t="s">
        <v>524</v>
      </c>
      <c r="BU1" s="2" t="s">
        <v>525</v>
      </c>
      <c r="BV1" s="2" t="s">
        <v>526</v>
      </c>
      <c r="BW1" s="2" t="s">
        <v>527</v>
      </c>
    </row>
    <row r="2">
      <c r="A2" s="1" t="str">
        <f>Report_Data_360!A2</f>
        <v>FL360-SAMPLE</v>
      </c>
      <c r="B2" s="1" t="str">
        <f>Report_Data_360!B2</f>
        <v>Sample Person</v>
      </c>
      <c r="C2" s="1" t="str">
        <f>Report_Data_360!C2</f>
        <v>sample@example.com</v>
      </c>
      <c r="D2" s="1" t="str">
        <f>Report_Data_360!Q2</f>
        <v>July 17, 2026</v>
      </c>
      <c r="E2" s="1" t="str">
        <f>Report_Data_360!O2</f>
        <v>Sample Person has 4 total responses: 1 self and 3 observer responses.</v>
      </c>
      <c r="F2" s="1">
        <f>Report_Data_360!D2</f>
        <v>4</v>
      </c>
      <c r="G2" s="1">
        <f>Report_Data_360!E2</f>
        <v>3</v>
      </c>
      <c r="H2" s="1">
        <f>Report_Data_360!F2</f>
        <v>3.925925926</v>
      </c>
      <c r="I2" s="1">
        <f>Report_Data_360!G2</f>
        <v>4.160493827</v>
      </c>
      <c r="J2" s="1">
        <f>Report_Data_360!H2</f>
        <v>0.2345679012</v>
      </c>
      <c r="K2" s="1" t="str">
        <f>Report_Data_360!I2</f>
        <v>Faithfulness, Kindness, Love</v>
      </c>
      <c r="L2" s="1" t="str">
        <f>Report_Data_360!J2</f>
        <v/>
      </c>
      <c r="M2" s="1" t="str">
        <f>Report_Data_360!K2</f>
        <v/>
      </c>
      <c r="N2" s="1" t="str">
        <f>Report_Data_360!L2</f>
        <v/>
      </c>
      <c r="O2" s="1" t="str">
        <f>Report_Data_360!M2</f>
        <v>Shepherd</v>
      </c>
      <c r="P2" s="1" t="str">
        <f>Report_Data_360!N2</f>
        <v>Steward</v>
      </c>
      <c r="Q2" s="1" t="str">
        <f>Report_Data_360!R2</f>
        <v>This report compares the participant self-reflection with observer reflections to identify visible fruit, encouragement others see, growth invitations, and pressure patterns.</v>
      </c>
      <c r="R2" s="1">
        <f>Fruit_Aggregates_360!C2</f>
        <v>4.333333333</v>
      </c>
      <c r="S2" s="1">
        <f>Fruit_Aggregates_360!D2</f>
        <v>4.555555556</v>
      </c>
      <c r="T2" s="1">
        <f>Fruit_Aggregates_360!E2</f>
        <v>4</v>
      </c>
      <c r="U2" s="1">
        <f>Fruit_Aggregates_360!F2</f>
        <v>4.333333333</v>
      </c>
      <c r="V2" s="1" t="str">
        <f>Fruit_Aggregates_360!J2</f>
        <v>Shared Strength</v>
      </c>
      <c r="W2" s="1" t="str">
        <f>Fruit_Aggregates_360!N2</f>
        <v>Love is consistently visible to both self and observers.</v>
      </c>
      <c r="X2" s="1">
        <f>Fruit_Aggregates_360!C3</f>
        <v>3.666666667</v>
      </c>
      <c r="Y2" s="1">
        <f>Fruit_Aggregates_360!D3</f>
        <v>3.777777778</v>
      </c>
      <c r="Z2" s="1">
        <f>Fruit_Aggregates_360!E3</f>
        <v>3</v>
      </c>
      <c r="AA2" s="1">
        <f>Fruit_Aggregates_360!F3</f>
        <v>3.666666667</v>
      </c>
      <c r="AB2" s="1" t="str">
        <f>Fruit_Aggregates_360!J3</f>
        <v>Steady Developing</v>
      </c>
      <c r="AC2" s="1" t="str">
        <f>Fruit_Aggregates_360!N3</f>
        <v>Joy appears to be developing with room for continued formation.</v>
      </c>
      <c r="AD2" s="1">
        <f>Fruit_Aggregates_360!C4</f>
        <v>4.333333333</v>
      </c>
      <c r="AE2" s="1">
        <f>Fruit_Aggregates_360!D4</f>
        <v>4.444444444</v>
      </c>
      <c r="AF2" s="1">
        <f>Fruit_Aggregates_360!E4</f>
        <v>4</v>
      </c>
      <c r="AG2" s="1">
        <f>Fruit_Aggregates_360!F4</f>
        <v>4.333333333</v>
      </c>
      <c r="AH2" s="1" t="str">
        <f>Fruit_Aggregates_360!J4</f>
        <v>Shared Strength</v>
      </c>
      <c r="AI2" s="1" t="str">
        <f>Fruit_Aggregates_360!N4</f>
        <v>Peace is consistently visible to both self and observers.</v>
      </c>
      <c r="AJ2" s="1">
        <f>Fruit_Aggregates_360!C5</f>
        <v>3.333333333</v>
      </c>
      <c r="AK2" s="1">
        <f>Fruit_Aggregates_360!D5</f>
        <v>3.333333333</v>
      </c>
      <c r="AL2" s="1">
        <f>Fruit_Aggregates_360!E5</f>
        <v>3</v>
      </c>
      <c r="AM2" s="1">
        <f>Fruit_Aggregates_360!F5</f>
        <v>3</v>
      </c>
      <c r="AN2" s="1" t="str">
        <f>Fruit_Aggregates_360!J5</f>
        <v>Steady Developing</v>
      </c>
      <c r="AO2" s="1" t="str">
        <f>Fruit_Aggregates_360!N5</f>
        <v>Patience appears to be developing with room for continued formation.</v>
      </c>
      <c r="AP2" s="1">
        <f>Fruit_Aggregates_360!C6</f>
        <v>4.666666667</v>
      </c>
      <c r="AQ2" s="1">
        <f>Fruit_Aggregates_360!D6</f>
        <v>4.666666667</v>
      </c>
      <c r="AR2" s="1">
        <f>Fruit_Aggregates_360!E6</f>
        <v>4</v>
      </c>
      <c r="AS2" s="1">
        <f>Fruit_Aggregates_360!F6</f>
        <v>4.333333333</v>
      </c>
      <c r="AT2" s="1" t="str">
        <f>Fruit_Aggregates_360!J6</f>
        <v>Shared Strength</v>
      </c>
      <c r="AU2" s="1" t="str">
        <f>Fruit_Aggregates_360!N6</f>
        <v>Kindness is consistently visible to both self and observers.</v>
      </c>
      <c r="AV2" s="1">
        <f>Fruit_Aggregates_360!C7</f>
        <v>4</v>
      </c>
      <c r="AW2" s="1">
        <f>Fruit_Aggregates_360!D7</f>
        <v>4.222222222</v>
      </c>
      <c r="AX2" s="1">
        <f>Fruit_Aggregates_360!E7</f>
        <v>4</v>
      </c>
      <c r="AY2" s="1">
        <f>Fruit_Aggregates_360!F7</f>
        <v>4.333333333</v>
      </c>
      <c r="AZ2" s="1" t="str">
        <f>Fruit_Aggregates_360!J7</f>
        <v>Shared Strength</v>
      </c>
      <c r="BA2" s="1" t="str">
        <f>Fruit_Aggregates_360!N7</f>
        <v>Goodness is consistently visible to both self and observers.</v>
      </c>
      <c r="BB2" s="1">
        <f>Fruit_Aggregates_360!C8</f>
        <v>4.333333333</v>
      </c>
      <c r="BC2" s="1">
        <f>Fruit_Aggregates_360!D8</f>
        <v>4.777777778</v>
      </c>
      <c r="BD2" s="1">
        <f>Fruit_Aggregates_360!E8</f>
        <v>4</v>
      </c>
      <c r="BE2" s="1">
        <f>Fruit_Aggregates_360!F8</f>
        <v>4.666666667</v>
      </c>
      <c r="BF2" s="1" t="str">
        <f>Fruit_Aggregates_360!J8</f>
        <v>Shared Strength</v>
      </c>
      <c r="BG2" s="1" t="str">
        <f>Fruit_Aggregates_360!N8</f>
        <v>Faithfulness is consistently visible to both self and observers.</v>
      </c>
      <c r="BH2" s="1">
        <f>Fruit_Aggregates_360!C9</f>
        <v>3.333333333</v>
      </c>
      <c r="BI2" s="1">
        <f>Fruit_Aggregates_360!D9</f>
        <v>4.111111111</v>
      </c>
      <c r="BJ2" s="1">
        <f>Fruit_Aggregates_360!E9</f>
        <v>3</v>
      </c>
      <c r="BK2" s="1">
        <f>Fruit_Aggregates_360!F9</f>
        <v>3.333333333</v>
      </c>
      <c r="BL2" s="1" t="str">
        <f>Fruit_Aggregates_360!J9</f>
        <v>Steady Developing</v>
      </c>
      <c r="BM2" s="1" t="str">
        <f>Fruit_Aggregates_360!N9</f>
        <v>Gentleness appears to be developing with room for continued formation.</v>
      </c>
      <c r="BN2" s="1">
        <f>Fruit_Aggregates_360!C10</f>
        <v>3.333333333</v>
      </c>
      <c r="BO2" s="1">
        <f>Fruit_Aggregates_360!D10</f>
        <v>3.555555556</v>
      </c>
      <c r="BP2" s="1">
        <f>Fruit_Aggregates_360!E10</f>
        <v>3</v>
      </c>
      <c r="BQ2" s="1">
        <f>Fruit_Aggregates_360!F10</f>
        <v>3</v>
      </c>
      <c r="BR2" s="1" t="str">
        <f>Fruit_Aggregates_360!J10</f>
        <v>Steady Developing</v>
      </c>
      <c r="BS2" s="1" t="str">
        <f>Fruit_Aggregates_360!N10</f>
        <v>Self-control appears to be developing with room for continued formation.</v>
      </c>
      <c r="BT2" s="1" t="str">
        <f>IFERROR(__xludf.DUMMYFUNCTION("IFERROR(TEXTJOIN(CHAR(10)&amp;CHAR(10),TRUE,FILTER(Response_Intake!AO:AO,Response_Intake!B:B=A2,Response_Intake!BA:BA&lt;&gt;""Self"",Response_Intake!AO:AO&lt;&gt;"""")),"""")"),"They move toward people with care and practical help.
They are dependable and choose what is right even when it costs them.
They bring peace and steadiness into stressful situations.")</f>
        <v>They move toward people with care and practical help.
They are dependable and choose what is right even when it costs them.
They bring peace and steadiness into stressful situations.</v>
      </c>
      <c r="BU2" s="1" t="str">
        <f>IFERROR(__xludf.DUMMYFUNCTION("IFERROR(TEXTJOIN(CHAR(10)&amp;CHAR(10),TRUE,FILTER(Response_Intake!AP:AP,Response_Intake!B:B=A2,Response_Intake!BA:BA&lt;&gt;""Self"",Response_Intake!AP:AP&lt;&gt;"""")),"""")"),"They could slow down when frustrated or overloaded.
They can carry too much and get quiet instead of asking for help.
They should keep practicing measured responses when tired.")</f>
        <v>They could slow down when frustrated or overloaded.
They can carry too much and get quiet instead of asking for help.
They should keep practicing measured responses when tired.</v>
      </c>
      <c r="BV2" s="1" t="str">
        <f>IFERROR(__xludf.DUMMYFUNCTION("IFERROR(TEXTJOIN(CHAR(10)&amp;CHAR(10),TRUE,FILTER(Response_Intake!AQ:AQ,Response_Intake!B:B=A2,Response_Intake!BA:BA&lt;&gt;""Self"",Response_Intake!AQ:AQ&lt;&gt;"""")),"""")"),"Their care is very visible and encouraging.
Their faithfulness builds trust.
Their presence is settling and trustworthy.")</f>
        <v>Their care is very visible and encouraging.
Their faithfulness builds trust.
Their presence is settling and trustworthy.</v>
      </c>
      <c r="BW2" s="1" t="str">
        <f>IFERROR(__xludf.DUMMYFUNCTION("IFERROR(INDEX(FILTER(Response_Intake!BP:BP,Response_Intake!B:B=A2,Response_Intake!BA:BA=""Self""),1),"""")"),"I want the Holy Spirit to grow patience and self-control in this season.")</f>
        <v>I want the Holy Spirit to grow patience and self-control in this season.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2" t="s">
        <v>367</v>
      </c>
      <c r="B1" s="2" t="s">
        <v>368</v>
      </c>
      <c r="C1" s="2" t="s">
        <v>234</v>
      </c>
      <c r="D1" s="5"/>
      <c r="E1" s="5"/>
      <c r="F1" s="5"/>
      <c r="G1" s="5"/>
      <c r="H1" s="5"/>
      <c r="I1" s="5"/>
      <c r="J1" s="5"/>
    </row>
    <row r="2">
      <c r="A2" s="3" t="s">
        <v>369</v>
      </c>
      <c r="B2" s="4">
        <v>2.0</v>
      </c>
      <c r="C2" s="3" t="s">
        <v>370</v>
      </c>
    </row>
    <row r="3">
      <c r="A3" s="3" t="s">
        <v>226</v>
      </c>
      <c r="B3" s="1" t="str">
        <f t="array" ref="B3">INDEX(Report_Export_360!A:A,B2)</f>
        <v>FL360-SAMPLE</v>
      </c>
      <c r="C3" s="3" t="s">
        <v>528</v>
      </c>
    </row>
    <row r="4">
      <c r="A4" s="3" t="s">
        <v>466</v>
      </c>
      <c r="B4" s="1" t="str">
        <f>Report_Data_360!P2</f>
        <v>Yes</v>
      </c>
      <c r="C4" s="3" t="s">
        <v>529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2" t="s">
        <v>372</v>
      </c>
      <c r="B1" s="2" t="s">
        <v>373</v>
      </c>
      <c r="C1" s="2" t="s">
        <v>530</v>
      </c>
      <c r="D1" s="2" t="s">
        <v>531</v>
      </c>
      <c r="E1" s="2" t="s">
        <v>532</v>
      </c>
      <c r="F1" s="2" t="s">
        <v>533</v>
      </c>
      <c r="G1" s="2" t="s">
        <v>534</v>
      </c>
      <c r="H1" s="2" t="s">
        <v>374</v>
      </c>
      <c r="I1" s="2" t="s">
        <v>535</v>
      </c>
      <c r="J1" s="2" t="s">
        <v>376</v>
      </c>
      <c r="K1" s="2" t="s">
        <v>536</v>
      </c>
      <c r="L1" s="2" t="s">
        <v>537</v>
      </c>
      <c r="M1" s="2" t="s">
        <v>538</v>
      </c>
      <c r="N1" s="2" t="s">
        <v>539</v>
      </c>
      <c r="O1" s="2" t="s">
        <v>540</v>
      </c>
      <c r="P1" s="2" t="s">
        <v>541</v>
      </c>
      <c r="Q1" s="2" t="s">
        <v>542</v>
      </c>
      <c r="R1" s="2" t="s">
        <v>543</v>
      </c>
      <c r="S1" s="2" t="s">
        <v>544</v>
      </c>
      <c r="T1" s="2" t="s">
        <v>545</v>
      </c>
      <c r="U1" s="2" t="s">
        <v>546</v>
      </c>
      <c r="V1" s="2" t="s">
        <v>547</v>
      </c>
      <c r="W1" s="2" t="s">
        <v>548</v>
      </c>
      <c r="X1" s="2" t="s">
        <v>549</v>
      </c>
      <c r="Y1" s="2" t="s">
        <v>550</v>
      </c>
      <c r="Z1" s="2" t="s">
        <v>551</v>
      </c>
      <c r="AA1" s="2" t="s">
        <v>552</v>
      </c>
      <c r="AB1" s="2" t="s">
        <v>553</v>
      </c>
      <c r="AC1" s="2" t="s">
        <v>554</v>
      </c>
      <c r="AD1" s="2" t="s">
        <v>555</v>
      </c>
      <c r="AE1" s="2" t="s">
        <v>556</v>
      </c>
      <c r="AF1" s="2" t="s">
        <v>557</v>
      </c>
      <c r="AG1" s="2" t="s">
        <v>558</v>
      </c>
      <c r="AH1" s="2" t="s">
        <v>559</v>
      </c>
      <c r="AI1" s="2" t="s">
        <v>560</v>
      </c>
      <c r="AJ1" s="2" t="s">
        <v>561</v>
      </c>
      <c r="AK1" s="2" t="s">
        <v>562</v>
      </c>
      <c r="AL1" s="2" t="s">
        <v>563</v>
      </c>
      <c r="AM1" s="2" t="s">
        <v>564</v>
      </c>
      <c r="AN1" s="2" t="s">
        <v>565</v>
      </c>
      <c r="AO1" s="2" t="s">
        <v>566</v>
      </c>
      <c r="AP1" s="2" t="s">
        <v>567</v>
      </c>
      <c r="AQ1" s="2" t="s">
        <v>568</v>
      </c>
      <c r="AR1" s="2" t="s">
        <v>569</v>
      </c>
      <c r="AS1" s="2" t="s">
        <v>570</v>
      </c>
      <c r="AT1" s="2" t="s">
        <v>571</v>
      </c>
      <c r="AU1" s="2" t="s">
        <v>572</v>
      </c>
      <c r="AV1" s="2" t="s">
        <v>573</v>
      </c>
      <c r="AW1" s="2" t="s">
        <v>574</v>
      </c>
      <c r="AX1" s="2" t="s">
        <v>575</v>
      </c>
      <c r="AY1" s="2" t="s">
        <v>576</v>
      </c>
      <c r="AZ1" s="2" t="s">
        <v>577</v>
      </c>
      <c r="BA1" s="2" t="s">
        <v>578</v>
      </c>
      <c r="BB1" s="2" t="s">
        <v>579</v>
      </c>
      <c r="BC1" s="2" t="s">
        <v>580</v>
      </c>
      <c r="BD1" s="2" t="s">
        <v>581</v>
      </c>
      <c r="BE1" s="2" t="s">
        <v>582</v>
      </c>
      <c r="BF1" s="2" t="s">
        <v>583</v>
      </c>
      <c r="BG1" s="2" t="s">
        <v>584</v>
      </c>
      <c r="BH1" s="2" t="s">
        <v>585</v>
      </c>
      <c r="BI1" s="2" t="s">
        <v>586</v>
      </c>
      <c r="BJ1" s="2" t="s">
        <v>587</v>
      </c>
      <c r="BK1" s="2" t="s">
        <v>588</v>
      </c>
      <c r="BL1" s="2" t="s">
        <v>589</v>
      </c>
      <c r="BM1" s="2" t="s">
        <v>590</v>
      </c>
      <c r="BN1" s="2" t="s">
        <v>591</v>
      </c>
      <c r="BO1" s="2" t="s">
        <v>592</v>
      </c>
      <c r="BP1" s="2" t="s">
        <v>593</v>
      </c>
      <c r="BQ1" s="2" t="s">
        <v>594</v>
      </c>
      <c r="BR1" s="2" t="s">
        <v>595</v>
      </c>
      <c r="BS1" s="2" t="s">
        <v>596</v>
      </c>
      <c r="BT1" s="2" t="s">
        <v>597</v>
      </c>
      <c r="BU1" s="2" t="s">
        <v>598</v>
      </c>
      <c r="BV1" s="2" t="s">
        <v>599</v>
      </c>
      <c r="BW1" s="2" t="s">
        <v>600</v>
      </c>
    </row>
    <row r="2">
      <c r="A2" s="1" t="str">
        <f t="array" ref="A2">INDEX(Report_Export_360!A:A,Report_Control_360!$B$2)</f>
        <v>FL360-SAMPLE</v>
      </c>
      <c r="B2" s="1" t="str">
        <f t="array" ref="B2">INDEX(Report_Export_360!B:B,Report_Control_360!$B$2)</f>
        <v>Sample Person</v>
      </c>
      <c r="C2" s="1" t="str">
        <f t="array" ref="C2">INDEX(Report_Export_360!C:C,Report_Control_360!$B$2)</f>
        <v>sample@example.com</v>
      </c>
      <c r="D2" s="1" t="str">
        <f t="array" ref="D2">INDEX(Report_Export_360!D:D,Report_Control_360!$B$2)</f>
        <v>July 17, 2026</v>
      </c>
      <c r="E2" s="1" t="str">
        <f t="array" ref="E2">INDEX(Report_Export_360!E:E,Report_Control_360!$B$2)</f>
        <v>Sample Person has 4 total responses: 1 self and 3 observer responses.</v>
      </c>
      <c r="F2" s="1">
        <f t="array" ref="F2">INDEX(Report_Export_360!F:F,Report_Control_360!$B$2)</f>
        <v>4</v>
      </c>
      <c r="G2" s="1">
        <f t="array" ref="G2">INDEX(Report_Export_360!G:G,Report_Control_360!$B$2)</f>
        <v>3</v>
      </c>
      <c r="H2" s="1">
        <f t="array" ref="H2">INDEX(Report_Export_360!H:H,Report_Control_360!$B$2)</f>
        <v>3.925925926</v>
      </c>
      <c r="I2" s="1">
        <f t="array" ref="I2">INDEX(Report_Export_360!I:I,Report_Control_360!$B$2)</f>
        <v>4.160493827</v>
      </c>
      <c r="J2" s="1">
        <f t="array" ref="J2">INDEX(Report_Export_360!J:J,Report_Control_360!$B$2)</f>
        <v>0.2345679012</v>
      </c>
      <c r="K2" s="1" t="str">
        <f t="array" ref="K2">INDEX(Report_Export_360!K:K,Report_Control_360!$B$2)</f>
        <v>Faithfulness, Kindness, Love</v>
      </c>
      <c r="L2" s="1" t="str">
        <f t="array" ref="L2">INDEX(Report_Export_360!L:L,Report_Control_360!$B$2)</f>
        <v/>
      </c>
      <c r="M2" s="1" t="str">
        <f t="array" ref="M2">INDEX(Report_Export_360!M:M,Report_Control_360!$B$2)</f>
        <v/>
      </c>
      <c r="N2" s="1" t="str">
        <f t="array" ref="N2">INDEX(Report_Export_360!N:N,Report_Control_360!$B$2)</f>
        <v/>
      </c>
      <c r="O2" s="1" t="str">
        <f t="array" ref="O2">INDEX(Report_Export_360!O:O,Report_Control_360!$B$2)</f>
        <v>Shepherd</v>
      </c>
      <c r="P2" s="1" t="str">
        <f t="array" ref="P2">INDEX(Report_Export_360!P:P,Report_Control_360!$B$2)</f>
        <v>Steward</v>
      </c>
      <c r="Q2" s="1" t="str">
        <f t="array" ref="Q2">INDEX(Report_Export_360!Q:Q,Report_Control_360!$B$2)</f>
        <v>This report compares the participant self-reflection with observer reflections to identify visible fruit, encouragement others see, growth invitations, and pressure patterns.</v>
      </c>
      <c r="R2" s="1">
        <f t="array" ref="R2">INDEX(Report_Export_360!R:R,Report_Control_360!$B$2)</f>
        <v>4.333333333</v>
      </c>
      <c r="S2" s="1">
        <f t="array" ref="S2">INDEX(Report_Export_360!S:S,Report_Control_360!$B$2)</f>
        <v>4.555555556</v>
      </c>
      <c r="T2" s="1">
        <f t="array" ref="T2">INDEX(Report_Export_360!T:T,Report_Control_360!$B$2)</f>
        <v>4</v>
      </c>
      <c r="U2" s="1">
        <f t="array" ref="U2">INDEX(Report_Export_360!U:U,Report_Control_360!$B$2)</f>
        <v>4.333333333</v>
      </c>
      <c r="V2" s="1" t="str">
        <f t="array" ref="V2">INDEX(Report_Export_360!V:V,Report_Control_360!$B$2)</f>
        <v>Shared Strength</v>
      </c>
      <c r="W2" s="1" t="str">
        <f t="array" ref="W2">INDEX(Report_Export_360!W:W,Report_Control_360!$B$2)</f>
        <v>Love is consistently visible to both self and observers.</v>
      </c>
      <c r="X2" s="1">
        <f t="array" ref="X2">INDEX(Report_Export_360!X:X,Report_Control_360!$B$2)</f>
        <v>3.666666667</v>
      </c>
      <c r="Y2" s="1">
        <f t="array" ref="Y2">INDEX(Report_Export_360!Y:Y,Report_Control_360!$B$2)</f>
        <v>3.777777778</v>
      </c>
      <c r="Z2" s="1">
        <f t="array" ref="Z2">INDEX(Report_Export_360!Z:Z,Report_Control_360!$B$2)</f>
        <v>3</v>
      </c>
      <c r="AA2" s="1">
        <f t="array" ref="AA2">INDEX(Report_Export_360!AA:AA,Report_Control_360!$B$2)</f>
        <v>3.666666667</v>
      </c>
      <c r="AB2" s="1" t="str">
        <f t="array" ref="AB2">INDEX(Report_Export_360!AB:AB,Report_Control_360!$B$2)</f>
        <v>Steady Developing</v>
      </c>
      <c r="AC2" s="1" t="str">
        <f t="array" ref="AC2">INDEX(Report_Export_360!AC:AC,Report_Control_360!$B$2)</f>
        <v>Joy appears to be developing with room for continued formation.</v>
      </c>
      <c r="AD2" s="1">
        <f t="array" ref="AD2">INDEX(Report_Export_360!AD:AD,Report_Control_360!$B$2)</f>
        <v>4.333333333</v>
      </c>
      <c r="AE2" s="1">
        <f t="array" ref="AE2">INDEX(Report_Export_360!AE:AE,Report_Control_360!$B$2)</f>
        <v>4.444444444</v>
      </c>
      <c r="AF2" s="1">
        <f t="array" ref="AF2">INDEX(Report_Export_360!AF:AF,Report_Control_360!$B$2)</f>
        <v>4</v>
      </c>
      <c r="AG2" s="1">
        <f t="array" ref="AG2">INDEX(Report_Export_360!AG:AG,Report_Control_360!$B$2)</f>
        <v>4.333333333</v>
      </c>
      <c r="AH2" s="1" t="str">
        <f t="array" ref="AH2">INDEX(Report_Export_360!AH:AH,Report_Control_360!$B$2)</f>
        <v>Shared Strength</v>
      </c>
      <c r="AI2" s="1" t="str">
        <f t="array" ref="AI2">INDEX(Report_Export_360!AI:AI,Report_Control_360!$B$2)</f>
        <v>Peace is consistently visible to both self and observers.</v>
      </c>
      <c r="AJ2" s="1">
        <f t="array" ref="AJ2">INDEX(Report_Export_360!AJ:AJ,Report_Control_360!$B$2)</f>
        <v>3.333333333</v>
      </c>
      <c r="AK2" s="1">
        <f t="array" ref="AK2">INDEX(Report_Export_360!AK:AK,Report_Control_360!$B$2)</f>
        <v>3.333333333</v>
      </c>
      <c r="AL2" s="1">
        <f t="array" ref="AL2">INDEX(Report_Export_360!AL:AL,Report_Control_360!$B$2)</f>
        <v>3</v>
      </c>
      <c r="AM2" s="1">
        <f t="array" ref="AM2">INDEX(Report_Export_360!AM:AM,Report_Control_360!$B$2)</f>
        <v>3</v>
      </c>
      <c r="AN2" s="1" t="str">
        <f t="array" ref="AN2">INDEX(Report_Export_360!AN:AN,Report_Control_360!$B$2)</f>
        <v>Steady Developing</v>
      </c>
      <c r="AO2" s="1" t="str">
        <f t="array" ref="AO2">INDEX(Report_Export_360!AO:AO,Report_Control_360!$B$2)</f>
        <v>Patience appears to be developing with room for continued formation.</v>
      </c>
      <c r="AP2" s="1">
        <f t="array" ref="AP2">INDEX(Report_Export_360!AP:AP,Report_Control_360!$B$2)</f>
        <v>4.666666667</v>
      </c>
      <c r="AQ2" s="1">
        <f t="array" ref="AQ2">INDEX(Report_Export_360!AQ:AQ,Report_Control_360!$B$2)</f>
        <v>4.666666667</v>
      </c>
      <c r="AR2" s="1">
        <f t="array" ref="AR2">INDEX(Report_Export_360!AR:AR,Report_Control_360!$B$2)</f>
        <v>4</v>
      </c>
      <c r="AS2" s="1">
        <f t="array" ref="AS2">INDEX(Report_Export_360!AS:AS,Report_Control_360!$B$2)</f>
        <v>4.333333333</v>
      </c>
      <c r="AT2" s="1" t="str">
        <f t="array" ref="AT2">INDEX(Report_Export_360!AT:AT,Report_Control_360!$B$2)</f>
        <v>Shared Strength</v>
      </c>
      <c r="AU2" s="1" t="str">
        <f t="array" ref="AU2">INDEX(Report_Export_360!AU:AU,Report_Control_360!$B$2)</f>
        <v>Kindness is consistently visible to both self and observers.</v>
      </c>
      <c r="AV2" s="1">
        <f t="array" ref="AV2">INDEX(Report_Export_360!AV:AV,Report_Control_360!$B$2)</f>
        <v>4</v>
      </c>
      <c r="AW2" s="1">
        <f t="array" ref="AW2">INDEX(Report_Export_360!AW:AW,Report_Control_360!$B$2)</f>
        <v>4.222222222</v>
      </c>
      <c r="AX2" s="1">
        <f t="array" ref="AX2">INDEX(Report_Export_360!AX:AX,Report_Control_360!$B$2)</f>
        <v>4</v>
      </c>
      <c r="AY2" s="1">
        <f t="array" ref="AY2">INDEX(Report_Export_360!AY:AY,Report_Control_360!$B$2)</f>
        <v>4.333333333</v>
      </c>
      <c r="AZ2" s="1" t="str">
        <f t="array" ref="AZ2">INDEX(Report_Export_360!AZ:AZ,Report_Control_360!$B$2)</f>
        <v>Shared Strength</v>
      </c>
      <c r="BA2" s="1" t="str">
        <f t="array" ref="BA2">INDEX(Report_Export_360!BA:BA,Report_Control_360!$B$2)</f>
        <v>Goodness is consistently visible to both self and observers.</v>
      </c>
      <c r="BB2" s="1">
        <f t="array" ref="BB2">INDEX(Report_Export_360!BB:BB,Report_Control_360!$B$2)</f>
        <v>4.333333333</v>
      </c>
      <c r="BC2" s="1">
        <f t="array" ref="BC2">INDEX(Report_Export_360!BC:BC,Report_Control_360!$B$2)</f>
        <v>4.777777778</v>
      </c>
      <c r="BD2" s="1">
        <f t="array" ref="BD2">INDEX(Report_Export_360!BD:BD,Report_Control_360!$B$2)</f>
        <v>4</v>
      </c>
      <c r="BE2" s="1">
        <f t="array" ref="BE2">INDEX(Report_Export_360!BE:BE,Report_Control_360!$B$2)</f>
        <v>4.666666667</v>
      </c>
      <c r="BF2" s="1" t="str">
        <f t="array" ref="BF2">INDEX(Report_Export_360!BF:BF,Report_Control_360!$B$2)</f>
        <v>Shared Strength</v>
      </c>
      <c r="BG2" s="1" t="str">
        <f t="array" ref="BG2">INDEX(Report_Export_360!BG:BG,Report_Control_360!$B$2)</f>
        <v>Faithfulness is consistently visible to both self and observers.</v>
      </c>
      <c r="BH2" s="1">
        <f t="array" ref="BH2">INDEX(Report_Export_360!BH:BH,Report_Control_360!$B$2)</f>
        <v>3.333333333</v>
      </c>
      <c r="BI2" s="1">
        <f t="array" ref="BI2">INDEX(Report_Export_360!BI:BI,Report_Control_360!$B$2)</f>
        <v>4.111111111</v>
      </c>
      <c r="BJ2" s="1">
        <f t="array" ref="BJ2">INDEX(Report_Export_360!BJ:BJ,Report_Control_360!$B$2)</f>
        <v>3</v>
      </c>
      <c r="BK2" s="1">
        <f t="array" ref="BK2">INDEX(Report_Export_360!BK:BK,Report_Control_360!$B$2)</f>
        <v>3.333333333</v>
      </c>
      <c r="BL2" s="1" t="str">
        <f t="array" ref="BL2">INDEX(Report_Export_360!BL:BL,Report_Control_360!$B$2)</f>
        <v>Steady Developing</v>
      </c>
      <c r="BM2" s="1" t="str">
        <f t="array" ref="BM2">INDEX(Report_Export_360!BM:BM,Report_Control_360!$B$2)</f>
        <v>Gentleness appears to be developing with room for continued formation.</v>
      </c>
      <c r="BN2" s="1">
        <f t="array" ref="BN2">INDEX(Report_Export_360!BN:BN,Report_Control_360!$B$2)</f>
        <v>3.333333333</v>
      </c>
      <c r="BO2" s="1">
        <f t="array" ref="BO2">INDEX(Report_Export_360!BO:BO,Report_Control_360!$B$2)</f>
        <v>3.555555556</v>
      </c>
      <c r="BP2" s="1">
        <f t="array" ref="BP2">INDEX(Report_Export_360!BP:BP,Report_Control_360!$B$2)</f>
        <v>3</v>
      </c>
      <c r="BQ2" s="1">
        <f t="array" ref="BQ2">INDEX(Report_Export_360!BQ:BQ,Report_Control_360!$B$2)</f>
        <v>3</v>
      </c>
      <c r="BR2" s="1" t="str">
        <f t="array" ref="BR2">INDEX(Report_Export_360!BR:BR,Report_Control_360!$B$2)</f>
        <v>Steady Developing</v>
      </c>
      <c r="BS2" s="1" t="str">
        <f t="array" ref="BS2">INDEX(Report_Export_360!BS:BS,Report_Control_360!$B$2)</f>
        <v>Self-control appears to be developing with room for continued formation.</v>
      </c>
      <c r="BT2" s="1" t="str">
        <f t="array" ref="BT2">INDEX(Report_Export_360!BT:BT,Report_Control_360!$B$2)</f>
        <v>They move toward people with care and practical help.
They are dependable and choose what is right even when it costs them.
They bring peace and steadiness into stressful situations.</v>
      </c>
      <c r="BU2" s="1" t="str">
        <f t="array" ref="BU2">INDEX(Report_Export_360!BU:BU,Report_Control_360!$B$2)</f>
        <v>They could slow down when frustrated or overloaded.
They can carry too much and get quiet instead of asking for help.
They should keep practicing measured responses when tired.</v>
      </c>
      <c r="BV2" s="1" t="str">
        <f t="array" ref="BV2">INDEX(Report_Export_360!BV:BV,Report_Control_360!$B$2)</f>
        <v>Their care is very visible and encouraging.
Their faithfulness builds trust.
Their presence is settling and trustworthy.</v>
      </c>
      <c r="BW2" s="1" t="str">
        <f t="array" ref="BW2">INDEX(Report_Export_360!BW:BW,Report_Control_360!$B$2)</f>
        <v>I want the Holy Spirit to grow patience and self-control in this season.</v>
      </c>
    </row>
  </sheetData>
  <drawing r:id="rId1"/>
</worksheet>
</file>