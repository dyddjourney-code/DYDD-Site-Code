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_HERE" sheetId="1" r:id="rId5"/>
    <sheet state="visible" name="Assessment_Config" sheetId="2" r:id="rId6"/>
    <sheet state="visible" name="Question_Bank" sheetId="3" r:id="rId7"/>
    <sheet state="visible" name="Participant_Setup" sheetId="4" r:id="rId8"/>
    <sheet state="visible" name="Response_Intake" sheetId="5" r:id="rId9"/>
    <sheet state="visible" name="Report_Queue" sheetId="6" r:id="rId10"/>
    <sheet state="visible" name="Report_Data" sheetId="7" r:id="rId11"/>
    <sheet state="visible" name="Report_Export" sheetId="8" r:id="rId12"/>
    <sheet state="visible" name="Report_Control" sheetId="9" r:id="rId13"/>
    <sheet state="visible" name="PDFMonkey_Payload" sheetId="10" r:id="rId14"/>
    <sheet state="visible" name="Version_Notes" sheetId="11" r:id="rId15"/>
  </sheets>
  <definedNames/>
  <calcPr/>
</workbook>
</file>

<file path=xl/sharedStrings.xml><?xml version="1.0" encoding="utf-8"?>
<sst xmlns="http://schemas.openxmlformats.org/spreadsheetml/2006/main" count="465" uniqueCount="351">
  <si>
    <t>Fruit of the Spirit Reflection / Fruit of the Spirit 360 Starter Workbook</t>
  </si>
  <si>
    <t>Purpose</t>
  </si>
  <si>
    <t>One workbook for the self-only reflection and the future 360 peer version.</t>
  </si>
  <si>
    <t>Core Positioning</t>
  </si>
  <si>
    <t>This is not a label. It is a mirror for spiritual growth.</t>
  </si>
  <si>
    <t>Bridge Line</t>
  </si>
  <si>
    <t>The fruit reveals what is becoming visible in your life; DesignID helps you understand the God-given design through which that fruit is meant to be expressed.</t>
  </si>
  <si>
    <t>Recommended Build Order</t>
  </si>
  <si>
    <t>Review Question_Bank.</t>
  </si>
  <si>
    <t>Use Response_Intake as the raw form response tab.</t>
  </si>
  <si>
    <t>Use Report_Export as the report-ready output row.</t>
  </si>
  <si>
    <t>Use Report_Control to select a report row for preview/PDFMonkey.</t>
  </si>
  <si>
    <t>Use PDFMonkey_Payload if you later build a DPG-style Make/PDFMonkey flow.</t>
  </si>
  <si>
    <t>Important Rule</t>
  </si>
  <si>
    <t>Open comments are for the peer/360 version only, not for the self-review version.</t>
  </si>
  <si>
    <t>Workbook Tab Map</t>
  </si>
  <si>
    <t>Tab Name</t>
  </si>
  <si>
    <t>Copy/Paste Status</t>
  </si>
  <si>
    <t>START_HERE</t>
  </si>
  <si>
    <t>Plain-language setup notes for the workbook.</t>
  </si>
  <si>
    <t>Create manually.</t>
  </si>
  <si>
    <t>Assessment_Config</t>
  </si>
  <si>
    <t>Core settings, scale labels, report positioning, and version details.</t>
  </si>
  <si>
    <t>Use rating-scale.tsv and core language from product brief.</t>
  </si>
  <si>
    <t>Question_Bank</t>
  </si>
  <si>
    <t>Master list of the 27 rating statements and definitions.</t>
  </si>
  <si>
    <t>Use question-bank.tsv.</t>
  </si>
  <si>
    <t>Participant_Setup</t>
  </si>
  <si>
    <t>One row per person receiving a report.</t>
  </si>
  <si>
    <t>Create from intake or manually.</t>
  </si>
  <si>
    <t>Response_Intake</t>
  </si>
  <si>
    <t>Raw form responses from self and peer reviewers.</t>
  </si>
  <si>
    <t>Use response-intake-columns.tsv as headers.</t>
  </si>
  <si>
    <t>Report_Queue</t>
  </si>
  <si>
    <t>Tracks which reports are ready, queued, generated, or sent.</t>
  </si>
  <si>
    <t>Create manually, same spirit as DPG.</t>
  </si>
  <si>
    <t>Report_Data</t>
  </si>
  <si>
    <t>Helper calculations and fruit averages by participant.</t>
  </si>
  <si>
    <t>Formula-driven.</t>
  </si>
  <si>
    <t>Report_Export</t>
  </si>
  <si>
    <t>Clean report-ready row for PDFMonkey or page rendering.</t>
  </si>
  <si>
    <t>Use report-export-columns.tsv as headers.</t>
  </si>
  <si>
    <t>Report_Control</t>
  </si>
  <si>
    <t>Select one Participant_ID to preview/test a report.</t>
  </si>
  <si>
    <t>PDFMonkey_Payload</t>
  </si>
  <si>
    <t>Final payload fields if using the DPG-style PDFMonkey path.</t>
  </si>
  <si>
    <t>Can mirror Report_Export later.</t>
  </si>
  <si>
    <t>Version_Notes</t>
  </si>
  <si>
    <t>Change log for question, scoring, and report language changes.</t>
  </si>
  <si>
    <t>Assessment Name - Self Version</t>
  </si>
  <si>
    <t>Fruit of the Spirit Reflection</t>
  </si>
  <si>
    <t>Assessment Name - Peer Version</t>
  </si>
  <si>
    <t>Fruit of the Spirit 360</t>
  </si>
  <si>
    <t>Review Types</t>
  </si>
  <si>
    <t>Self, Peer</t>
  </si>
  <si>
    <t>Rating Scale</t>
  </si>
  <si>
    <t>Score</t>
  </si>
  <si>
    <t>Label</t>
  </si>
  <si>
    <t>Report Language</t>
  </si>
  <si>
    <t>Rarely visible</t>
  </si>
  <si>
    <t>This fruit may be less visible right now and could become an intentional area of growth.</t>
  </si>
  <si>
    <t>Occasionally visible</t>
  </si>
  <si>
    <t>This fruit appears at times, but may not yet be expressed consistently.</t>
  </si>
  <si>
    <t>Sometimes visible</t>
  </si>
  <si>
    <t>This fruit is meaningfully present, with room for greater consistency and maturity.</t>
  </si>
  <si>
    <t>Often visible</t>
  </si>
  <si>
    <t>This fruit is often visible and appears to be a growing strength.</t>
  </si>
  <si>
    <t>Consistently visible</t>
  </si>
  <si>
    <t>This fruit is consistently visible and appears to be a mature, practiced expression.</t>
  </si>
  <si>
    <t>Forced Sort Prompts</t>
  </si>
  <si>
    <t>Mode</t>
  </si>
  <si>
    <t>Prompt</t>
  </si>
  <si>
    <t>Instruction</t>
  </si>
  <si>
    <t>Self</t>
  </si>
  <si>
    <t>Most Visible Fruit</t>
  </si>
  <si>
    <t>Select the three fruit that feel most consistently visible in your life right now.</t>
  </si>
  <si>
    <t>Growth Focus Fruit</t>
  </si>
  <si>
    <t>Select the three fruit you sense God may be inviting you to intentionally cultivate in this season.</t>
  </si>
  <si>
    <t>Peer</t>
  </si>
  <si>
    <t>Select the three fruit that seem most consistently visible in this person's life right now.</t>
  </si>
  <si>
    <t>Select the three fruit that may be most valuable for this person to intentionally cultivate in this season.</t>
  </si>
  <si>
    <t>Open Comment Field Rules</t>
  </si>
  <si>
    <t>Field</t>
  </si>
  <si>
    <t>Use</t>
  </si>
  <si>
    <t>Peer_Comment_Strength</t>
  </si>
  <si>
    <t>Do not show.</t>
  </si>
  <si>
    <t>Peer_Comment_Growth</t>
  </si>
  <si>
    <t>Peer_Comment_Encouragement</t>
  </si>
  <si>
    <t>Optional: Where do you most clearly see fruit in this person's life?</t>
  </si>
  <si>
    <t>Optional: Where might growth or intentional cultivation be helpful?</t>
  </si>
  <si>
    <t>Optional: What encouragement would you offer this person?</t>
  </si>
  <si>
    <t>Report Language By Fruit</t>
  </si>
  <si>
    <t>Fruit</t>
  </si>
  <si>
    <t>High Reflection</t>
  </si>
  <si>
    <t>Growth Reflection</t>
  </si>
  <si>
    <t>Suggested Practice</t>
  </si>
  <si>
    <t>Love</t>
  </si>
  <si>
    <t>Love appears to be a visible and life-giving strength. This person likely moves toward others with care, service, and compassion.</t>
  </si>
  <si>
    <t>Growth in love may involve moving toward people more intentionally, especially when it is inconvenient or costly.</t>
  </si>
  <si>
    <t>Choose one person this week to serve quietly and specifically without needing recognition.</t>
  </si>
  <si>
    <t>Joy</t>
  </si>
  <si>
    <t>Joy appears to be a visible source of hope and perspective. This person may help others remember goodness even in imperfect circumstances.</t>
  </si>
  <si>
    <t>Growth in joy may involve practicing gratitude and learning to celebrate God's work without comparison.</t>
  </si>
  <si>
    <t>Write down three evidences of God's goodness each day for seven days.</t>
  </si>
  <si>
    <t>Peace</t>
  </si>
  <si>
    <t>Peace appears to be a visible form of steadiness. This person may help calm, reconcile, and stabilize the spaces they enter.</t>
  </si>
  <si>
    <t>Growth in peace may involve learning to pause, pray, and pursue reconciliation before reacting to anxiety or conflict.</t>
  </si>
  <si>
    <t>Before responding to tension, pause for one minute and ask, "What would make for peace here?"</t>
  </si>
  <si>
    <t>Patience</t>
  </si>
  <si>
    <t>Patience appears to be a visible strength in the way this person handles delay, process, and people.</t>
  </si>
  <si>
    <t>Growth in patience may involve giving people and processes more room without rushing, shaming, or withdrawing.</t>
  </si>
  <si>
    <t>Identify one slow process or difficult person and choose a faithful response before the next interaction.</t>
  </si>
  <si>
    <t>Kindness</t>
  </si>
  <si>
    <t>Kindness appears to be a visible expression of care through words, presence, and practical help.</t>
  </si>
  <si>
    <t>Growth in kindness may involve becoming more attentive to small opportunities to encourage and dignify others.</t>
  </si>
  <si>
    <t>Give one specific encouragement each day to someone who may not expect it.</t>
  </si>
  <si>
    <t>Goodness</t>
  </si>
  <si>
    <t>Goodness appears to be visible through integrity, conviction, and active commitment to what is right and life-giving.</t>
  </si>
  <si>
    <t>Growth in goodness may involve aligning private choices, public actions, and stated values more fully.</t>
  </si>
  <si>
    <t>Review one decision this week through the question, "What is the most faithful and life-giving option?"</t>
  </si>
  <si>
    <t>Faithfulness</t>
  </si>
  <si>
    <t>Faithfulness appears to be visible through reliability, loyalty, and steady follow-through over time.</t>
  </si>
  <si>
    <t>Growth in faithfulness may involve strengthening consistency where commitments, relationships, or responsibilities have become easy to neglect.</t>
  </si>
  <si>
    <t>Choose one commitment that needs renewed attention and take one concrete step of follow-through.</t>
  </si>
  <si>
    <t>Gentleness</t>
  </si>
  <si>
    <t>Gentleness appears to be visible as strength under control, expressed with humility and care.</t>
  </si>
  <si>
    <t>Growth in gentleness may involve bringing truth or strength with less pressure, harshness, or defensiveness.</t>
  </si>
  <si>
    <t>In one hard conversation, focus on being both truthful and tender.</t>
  </si>
  <si>
    <t>Self-Control</t>
  </si>
  <si>
    <t>Self-control appears to be visible through disciplined responses, habits, words, and choices.</t>
  </si>
  <si>
    <t>Growth in self-control may involve surrendering impulsive reactions and practicing wiser rhythms.</t>
  </si>
  <si>
    <t>Choose one recurring impulse and create a simple pause, prayer, or boundary before acting on it.</t>
  </si>
  <si>
    <t>Code</t>
  </si>
  <si>
    <t>Definition</t>
  </si>
  <si>
    <t>Self Rating Statement</t>
  </si>
  <si>
    <t>Peer Rating Statement</t>
  </si>
  <si>
    <t>LOVE_01</t>
  </si>
  <si>
    <t>Sacrificial care that moves toward others for their good.</t>
  </si>
  <si>
    <t>I move toward others with genuine care, even when it costs me time, comfort, or convenience.</t>
  </si>
  <si>
    <t>This person moves toward others with genuine care, even when it costs time, comfort, or convenience.</t>
  </si>
  <si>
    <t>LOVE_02</t>
  </si>
  <si>
    <t>I show concern for people as whole persons, not just for what they can accomplish or provide.</t>
  </si>
  <si>
    <t>This person shows concern for people as whole persons, not just for what they can accomplish or provide.</t>
  </si>
  <si>
    <t>LOVE_03</t>
  </si>
  <si>
    <t>I choose patience, service, and compassion when others are difficult, inconvenient, or different from me.</t>
  </si>
  <si>
    <t>This person chooses patience, service, and compassion when others are difficult, inconvenient, or different from them.</t>
  </si>
  <si>
    <t>JOY_01</t>
  </si>
  <si>
    <t>Deep gladness rooted in God that can remain present beyond circumstances.</t>
  </si>
  <si>
    <t>I am able to carry a steady gladness that is not dependent only on circumstances going my way.</t>
  </si>
  <si>
    <t>This person carries a steady gladness that is not dependent only on circumstances going their way.</t>
  </si>
  <si>
    <t>JOY_02</t>
  </si>
  <si>
    <t>I help create hope, gratitude, and life-giving perspective in the people around me.</t>
  </si>
  <si>
    <t>This person helps create hope, gratitude, and life-giving perspective in the people around them.</t>
  </si>
  <si>
    <t>JOY_03</t>
  </si>
  <si>
    <t>I can celebrate what God is doing in others without comparison, resentment, or competition.</t>
  </si>
  <si>
    <t>This person can celebrate what God is doing in others without comparison, resentment, or competition.</t>
  </si>
  <si>
    <t>PEACE_01</t>
  </si>
  <si>
    <t>Settled trust in God that brings steadiness, reconciliation, and calm.</t>
  </si>
  <si>
    <t>I remain grounded and steady when circumstances, people, or outcomes feel uncertain.</t>
  </si>
  <si>
    <t>This person remains grounded and steady when circumstances, people, or outcomes feel uncertain.</t>
  </si>
  <si>
    <t>PEACE_02</t>
  </si>
  <si>
    <t>I help reduce anxiety, conflict, or confusion rather than adding to it.</t>
  </si>
  <si>
    <t>This person helps reduce anxiety, conflict, or confusion rather than adding to it.</t>
  </si>
  <si>
    <t>PEACE_03</t>
  </si>
  <si>
    <t>I pursue reconciliation and wholeness when relationships become strained.</t>
  </si>
  <si>
    <t>This person pursues reconciliation and wholeness when relationships become strained.</t>
  </si>
  <si>
    <t>PATIENCE_01</t>
  </si>
  <si>
    <t>Steadfast endurance with people, process, weakness, and delay.</t>
  </si>
  <si>
    <t>I can stay faithful and composed when progress is slow or outcomes take longer than expected.</t>
  </si>
  <si>
    <t>This person stays faithful and composed when progress is slow or outcomes take longer than expected.</t>
  </si>
  <si>
    <t>PATIENCE_02</t>
  </si>
  <si>
    <t>I give people room to grow without rushing, shaming, or giving up on them too quickly.</t>
  </si>
  <si>
    <t>This person gives people room to grow without rushing, shaming, or giving up on them too quickly.</t>
  </si>
  <si>
    <t>PATIENCE_03</t>
  </si>
  <si>
    <t>I respond to irritation, delay, or inconvenience with restraint and perspective.</t>
  </si>
  <si>
    <t>This person responds to irritation, delay, or inconvenience with restraint and perspective.</t>
  </si>
  <si>
    <t>KINDNESS_01</t>
  </si>
  <si>
    <t>Tender, practical goodness expressed through words, presence, and action.</t>
  </si>
  <si>
    <t>I notice practical ways to encourage, help, or bless people around me.</t>
  </si>
  <si>
    <t>This person notices practical ways to encourage, help, or bless people around them.</t>
  </si>
  <si>
    <t>KINDNESS_02</t>
  </si>
  <si>
    <t>My words tend to bring dignity, encouragement, and gentleness to others.</t>
  </si>
  <si>
    <t>This person's words tend to bring dignity, encouragement, and gentleness to others.</t>
  </si>
  <si>
    <t>KINDNESS_03</t>
  </si>
  <si>
    <t>I am approachable and safe for people who are hurting, discouraged, or uncertain.</t>
  </si>
  <si>
    <t>This person is approachable and safe for people who are hurting, discouraged, or uncertain.</t>
  </si>
  <si>
    <t>GOODNESS_01</t>
  </si>
  <si>
    <t>Moral integrity and active commitment to what is right, true, and life-giving.</t>
  </si>
  <si>
    <t>I choose what is right and life-giving even when it is inconvenient or unseen.</t>
  </si>
  <si>
    <t>This person chooses what is right and life-giving even when it is inconvenient or unseen.</t>
  </si>
  <si>
    <t>GOODNESS_02</t>
  </si>
  <si>
    <t>My actions are generally aligned with my stated values and convictions.</t>
  </si>
  <si>
    <t>This person's actions are generally aligned with their stated values and convictions.</t>
  </si>
  <si>
    <t>GOODNESS_03</t>
  </si>
  <si>
    <t>I use my influence to protect, serve, and build up others rather than simply benefit myself.</t>
  </si>
  <si>
    <t>This person uses influence to protect, serve, and build up others rather than simply benefit themselves.</t>
  </si>
  <si>
    <t>FAITHFULNESS_01</t>
  </si>
  <si>
    <t>Reliability, loyalty, and steady trustworthiness over time.</t>
  </si>
  <si>
    <t>I follow through on commitments and can be counted on over time.</t>
  </si>
  <si>
    <t>This person follows through on commitments and can be counted on over time.</t>
  </si>
  <si>
    <t>FAITHFULNESS_02</t>
  </si>
  <si>
    <t>I remain loyal and steady in relationships, responsibilities, and convictions.</t>
  </si>
  <si>
    <t>This person remains loyal and steady in relationships, responsibilities, and convictions.</t>
  </si>
  <si>
    <t>FAITHFULNESS_03</t>
  </si>
  <si>
    <t>I stay faithful to what God has entrusted to me, even when recognition is limited.</t>
  </si>
  <si>
    <t>This person stays faithful to what God has entrusted to them, even when recognition is limited.</t>
  </si>
  <si>
    <t>GENTLENESS_01</t>
  </si>
  <si>
    <t>Strength under control, expressed with humility, tenderness, and care.</t>
  </si>
  <si>
    <t>I can bring truth, correction, or strength without harshness or intimidation.</t>
  </si>
  <si>
    <t>This person can bring truth, correction, or strength without harshness or intimidation.</t>
  </si>
  <si>
    <t>GENTLENESS_02</t>
  </si>
  <si>
    <t>I make it easier for others to be honest, vulnerable, or imperfect around me.</t>
  </si>
  <si>
    <t>This person makes it easier for others to be honest, vulnerable, or imperfect around them.</t>
  </si>
  <si>
    <t>GENTLENESS_03</t>
  </si>
  <si>
    <t>I use influence with humility and care rather than pressure, control, or force.</t>
  </si>
  <si>
    <t>This person uses influence with humility and care rather than pressure, control, or force.</t>
  </si>
  <si>
    <t>SELFCONTROL_01</t>
  </si>
  <si>
    <t>Spirit-formed discipline that governs desires, reactions, words, and choices.</t>
  </si>
  <si>
    <t>I respond thoughtfully rather than being ruled by impulse, emotion, or pressure.</t>
  </si>
  <si>
    <t>This person responds thoughtfully rather than being ruled by impulse, emotion, or pressure.</t>
  </si>
  <si>
    <t>SELFCONTROL_02</t>
  </si>
  <si>
    <t>I demonstrate discipline in my speech, habits, decisions, and use of time.</t>
  </si>
  <si>
    <t>This person demonstrates discipline in speech, habits, decisions, and use of time.</t>
  </si>
  <si>
    <t>SELFCONTROL_03</t>
  </si>
  <si>
    <t>I can delay immediate desires for what is wiser, healthier, or more faithful.</t>
  </si>
  <si>
    <t>This person can delay immediate desires for what is wiser, healthier, or more faithful.</t>
  </si>
  <si>
    <t>Participant_ID</t>
  </si>
  <si>
    <t>Participant_Name</t>
  </si>
  <si>
    <t>Participant_Email</t>
  </si>
  <si>
    <t>Assessment_Mode</t>
  </si>
  <si>
    <t>Status</t>
  </si>
  <si>
    <t>Created_Date</t>
  </si>
  <si>
    <t>Self_Form_Link</t>
  </si>
  <si>
    <t>Peer_Form_Link</t>
  </si>
  <si>
    <t>Notes</t>
  </si>
  <si>
    <t>Timestamp</t>
  </si>
  <si>
    <t>Review_Type</t>
  </si>
  <si>
    <t>Reviewer_Name</t>
  </si>
  <si>
    <t>Reviewer_Email</t>
  </si>
  <si>
    <t>Relationship</t>
  </si>
  <si>
    <t>Most_Visible_1</t>
  </si>
  <si>
    <t>Most_Visible_2</t>
  </si>
  <si>
    <t>Most_Visible_3</t>
  </si>
  <si>
    <t>Growth_Focus_1</t>
  </si>
  <si>
    <t>Growth_Focus_2</t>
  </si>
  <si>
    <t>Growth_Focus_3</t>
  </si>
  <si>
    <t>Love_Avg</t>
  </si>
  <si>
    <t>Joy_Avg</t>
  </si>
  <si>
    <t>Peace_Avg</t>
  </si>
  <si>
    <t>Patience_Avg</t>
  </si>
  <si>
    <t>Kindness_Avg</t>
  </si>
  <si>
    <t>Goodness_Avg</t>
  </si>
  <si>
    <t>Faithfulness_Avg</t>
  </si>
  <si>
    <t>Gentleness_Avg</t>
  </si>
  <si>
    <t>SelfControl_Avg</t>
  </si>
  <si>
    <t>Self_Complete</t>
  </si>
  <si>
    <t>Peer_Response_Count</t>
  </si>
  <si>
    <t>Report_Status</t>
  </si>
  <si>
    <t>Queued_Date</t>
  </si>
  <si>
    <t>Generated_Date</t>
  </si>
  <si>
    <t>Sent_Date</t>
  </si>
  <si>
    <t>Intermediate calculation layer. For v1, formulas can live in Report_Export. Use this tab later if the workbook gets crowded.</t>
  </si>
  <si>
    <t>DPG-style spine</t>
  </si>
  <si>
    <t>Response_Intake -&gt; Report_Data -&gt; Report_Export -&gt; Report_Control -&gt; PDFMonkey_Payload</t>
  </si>
  <si>
    <t>Self_Overall</t>
  </si>
  <si>
    <t>Peer_Overall</t>
  </si>
  <si>
    <t>Overall_Gap</t>
  </si>
  <si>
    <t>Self_Love</t>
  </si>
  <si>
    <t>Peer_Love</t>
  </si>
  <si>
    <t>Love_Gap</t>
  </si>
  <si>
    <t>Self_Joy</t>
  </si>
  <si>
    <t>Peer_Joy</t>
  </si>
  <si>
    <t>Joy_Gap</t>
  </si>
  <si>
    <t>Self_Peace</t>
  </si>
  <si>
    <t>Peer_Peace</t>
  </si>
  <si>
    <t>Peace_Gap</t>
  </si>
  <si>
    <t>Self_Patience</t>
  </si>
  <si>
    <t>Peer_Patience</t>
  </si>
  <si>
    <t>Patience_Gap</t>
  </si>
  <si>
    <t>Self_Kindness</t>
  </si>
  <si>
    <t>Peer_Kindness</t>
  </si>
  <si>
    <t>Kindness_Gap</t>
  </si>
  <si>
    <t>Self_Goodness</t>
  </si>
  <si>
    <t>Peer_Goodness</t>
  </si>
  <si>
    <t>Goodness_Gap</t>
  </si>
  <si>
    <t>Self_Faithfulness</t>
  </si>
  <si>
    <t>Peer_Faithfulness</t>
  </si>
  <si>
    <t>Faithfulness_Gap</t>
  </si>
  <si>
    <t>Self_Gentleness</t>
  </si>
  <si>
    <t>Peer_Gentleness</t>
  </si>
  <si>
    <t>Gentleness_Gap</t>
  </si>
  <si>
    <t>Self_SelfControl</t>
  </si>
  <si>
    <t>Peer_SelfControl</t>
  </si>
  <si>
    <t>SelfControl_Gap</t>
  </si>
  <si>
    <t>Top_Self_Fruit</t>
  </si>
  <si>
    <t>Top_Peer_Fruit</t>
  </si>
  <si>
    <t>Growth_Focus_Fruit</t>
  </si>
  <si>
    <t>Most_Visible_List</t>
  </si>
  <si>
    <t>Growth_Focus_List</t>
  </si>
  <si>
    <t>Peer_Strength_Comments</t>
  </si>
  <si>
    <t>Peer_Growth_Comments</t>
  </si>
  <si>
    <t>Peer_Encouragement_Comments</t>
  </si>
  <si>
    <t>Setting</t>
  </si>
  <si>
    <t>Value</t>
  </si>
  <si>
    <t>Report_Export_Row</t>
  </si>
  <si>
    <t>Change this row number to preview/generate a different report.</t>
  </si>
  <si>
    <t>Pulled from Report_Export.</t>
  </si>
  <si>
    <t>participant_id</t>
  </si>
  <si>
    <t>participant_name</t>
  </si>
  <si>
    <t>self_overall</t>
  </si>
  <si>
    <t>peer_overall</t>
  </si>
  <si>
    <t>overall_gap</t>
  </si>
  <si>
    <t>self_love</t>
  </si>
  <si>
    <t>peer_love</t>
  </si>
  <si>
    <t>love_gap</t>
  </si>
  <si>
    <t>self_joy</t>
  </si>
  <si>
    <t>peer_joy</t>
  </si>
  <si>
    <t>joy_gap</t>
  </si>
  <si>
    <t>self_peace</t>
  </si>
  <si>
    <t>peer_peace</t>
  </si>
  <si>
    <t>peace_gap</t>
  </si>
  <si>
    <t>self_patience</t>
  </si>
  <si>
    <t>peer_patience</t>
  </si>
  <si>
    <t>patience_gap</t>
  </si>
  <si>
    <t>self_kindness</t>
  </si>
  <si>
    <t>peer_kindness</t>
  </si>
  <si>
    <t>kindness_gap</t>
  </si>
  <si>
    <t>self_goodness</t>
  </si>
  <si>
    <t>peer_goodness</t>
  </si>
  <si>
    <t>goodness_gap</t>
  </si>
  <si>
    <t>self_faithfulness</t>
  </si>
  <si>
    <t>peer_faithfulness</t>
  </si>
  <si>
    <t>faithfulness_gap</t>
  </si>
  <si>
    <t>self_gentleness</t>
  </si>
  <si>
    <t>peer_gentleness</t>
  </si>
  <si>
    <t>gentleness_gap</t>
  </si>
  <si>
    <t>self_selfcontrol</t>
  </si>
  <si>
    <t>peer_selfcontrol</t>
  </si>
  <si>
    <t>selfcontrol_gap</t>
  </si>
  <si>
    <t>top_self_fruit</t>
  </si>
  <si>
    <t>top_peer_fruit</t>
  </si>
  <si>
    <t>growth_focus_fruit</t>
  </si>
  <si>
    <t>most_visible_list</t>
  </si>
  <si>
    <t>growth_focus_list</t>
  </si>
  <si>
    <t>peer_strength_comments</t>
  </si>
  <si>
    <t>peer_growth_comments</t>
  </si>
  <si>
    <t>peer_encouragement_comments</t>
  </si>
  <si>
    <t>Date</t>
  </si>
  <si>
    <t>Version</t>
  </si>
  <si>
    <t>2026-06-16</t>
  </si>
  <si>
    <t>Starter workbook generated from local Fruit of the Spirit assessment project.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</si>
</sst>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6">
      <c r="A6" s="1" t="s">
        <v>7</v>
      </c>
    </row>
    <row r="7">
      <c r="A7" s="1">
        <v>1.0</v>
      </c>
      <c r="B7" s="1" t="s">
        <v>8</v>
      </c>
    </row>
    <row r="8">
      <c r="A8" s="1">
        <v>2.0</v>
      </c>
      <c r="B8" s="1" t="s">
        <v>9</v>
      </c>
    </row>
    <row r="9">
      <c r="A9" s="1">
        <v>3.0</v>
      </c>
      <c r="B9" s="1" t="s">
        <v>10</v>
      </c>
    </row>
    <row r="10">
      <c r="A10" s="1">
        <v>4.0</v>
      </c>
      <c r="B10" s="1" t="s">
        <v>11</v>
      </c>
    </row>
    <row r="11">
      <c r="A11" s="1">
        <v>5.0</v>
      </c>
      <c r="B11" s="1" t="s">
        <v>12</v>
      </c>
    </row>
    <row r="13">
      <c r="A13" s="1" t="s">
        <v>13</v>
      </c>
      <c r="B13" s="1" t="s">
        <v>14</v>
      </c>
    </row>
    <row r="15">
      <c r="A15" s="1" t="s">
        <v>15</v>
      </c>
    </row>
    <row r="16">
      <c r="A16" s="1" t="s">
        <v>16</v>
      </c>
      <c r="B16" s="1" t="s">
        <v>1</v>
      </c>
      <c r="C16" s="1" t="s">
        <v>17</v>
      </c>
    </row>
    <row r="17">
      <c r="A17" s="1" t="s">
        <v>18</v>
      </c>
      <c r="B17" s="1" t="s">
        <v>19</v>
      </c>
      <c r="C17" s="1" t="s">
        <v>20</v>
      </c>
    </row>
    <row r="18">
      <c r="A18" s="1" t="s">
        <v>21</v>
      </c>
      <c r="B18" s="1" t="s">
        <v>22</v>
      </c>
      <c r="C18" s="1" t="s">
        <v>23</v>
      </c>
    </row>
    <row r="19">
      <c r="A19" s="1" t="s">
        <v>24</v>
      </c>
      <c r="B19" s="1" t="s">
        <v>25</v>
      </c>
      <c r="C19" s="1" t="s">
        <v>26</v>
      </c>
    </row>
    <row r="20">
      <c r="A20" s="1" t="s">
        <v>27</v>
      </c>
      <c r="B20" s="1" t="s">
        <v>28</v>
      </c>
      <c r="C20" s="1" t="s">
        <v>29</v>
      </c>
    </row>
    <row r="21" ht="15.75" customHeight="1">
      <c r="A21" s="1" t="s">
        <v>30</v>
      </c>
      <c r="B21" s="1" t="s">
        <v>31</v>
      </c>
      <c r="C21" s="1" t="s">
        <v>32</v>
      </c>
    </row>
    <row r="22" ht="15.75" customHeight="1">
      <c r="A22" s="1" t="s">
        <v>33</v>
      </c>
      <c r="B22" s="1" t="s">
        <v>34</v>
      </c>
      <c r="C22" s="1" t="s">
        <v>35</v>
      </c>
    </row>
    <row r="23" ht="15.75" customHeight="1">
      <c r="A23" s="1" t="s">
        <v>36</v>
      </c>
      <c r="B23" s="1" t="s">
        <v>37</v>
      </c>
      <c r="C23" s="1" t="s">
        <v>38</v>
      </c>
    </row>
    <row r="24" ht="15.75" customHeight="1">
      <c r="A24" s="1" t="s">
        <v>39</v>
      </c>
      <c r="B24" s="1" t="s">
        <v>40</v>
      </c>
      <c r="C24" s="1" t="s">
        <v>41</v>
      </c>
    </row>
    <row r="25" ht="15.75" customHeight="1">
      <c r="A25" s="1" t="s">
        <v>42</v>
      </c>
      <c r="B25" s="1" t="s">
        <v>43</v>
      </c>
      <c r="C25" s="1" t="s">
        <v>20</v>
      </c>
    </row>
    <row r="26" ht="15.75" customHeight="1">
      <c r="A26" s="1" t="s">
        <v>44</v>
      </c>
      <c r="B26" s="1" t="s">
        <v>45</v>
      </c>
      <c r="C26" s="1" t="s">
        <v>46</v>
      </c>
    </row>
    <row r="27" ht="15.75" customHeight="1">
      <c r="A27" s="1" t="s">
        <v>47</v>
      </c>
      <c r="B27" s="1" t="s">
        <v>48</v>
      </c>
      <c r="C27" s="1" t="s">
        <v>20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24.57"/>
    <col customWidth="1" min="3" max="3" width="117.86"/>
    <col customWidth="1" min="4" max="26" width="8.71"/>
  </cols>
  <sheetData>
    <row r="1">
      <c r="A1" s="1" t="s">
        <v>49</v>
      </c>
      <c r="B1" s="1" t="s">
        <v>50</v>
      </c>
    </row>
    <row r="2">
      <c r="A2" s="1" t="s">
        <v>51</v>
      </c>
      <c r="B2" s="1" t="s">
        <v>52</v>
      </c>
    </row>
    <row r="3">
      <c r="A3" s="1" t="s">
        <v>53</v>
      </c>
      <c r="B3" s="1" t="s">
        <v>54</v>
      </c>
    </row>
    <row r="4">
      <c r="A4" s="1" t="s">
        <v>3</v>
      </c>
      <c r="B4" s="1" t="s">
        <v>4</v>
      </c>
    </row>
    <row r="5">
      <c r="A5" s="1" t="s">
        <v>5</v>
      </c>
      <c r="B5" s="1" t="s">
        <v>6</v>
      </c>
    </row>
    <row r="7">
      <c r="A7" s="1" t="s">
        <v>55</v>
      </c>
    </row>
    <row r="8">
      <c r="A8" s="1" t="s">
        <v>56</v>
      </c>
      <c r="B8" s="1" t="s">
        <v>57</v>
      </c>
      <c r="C8" s="1" t="s">
        <v>58</v>
      </c>
    </row>
    <row r="9">
      <c r="A9" s="1">
        <v>1.0</v>
      </c>
      <c r="B9" s="1" t="s">
        <v>59</v>
      </c>
      <c r="C9" s="1" t="s">
        <v>60</v>
      </c>
    </row>
    <row r="10">
      <c r="A10" s="1">
        <v>2.0</v>
      </c>
      <c r="B10" s="1" t="s">
        <v>61</v>
      </c>
      <c r="C10" s="1" t="s">
        <v>62</v>
      </c>
    </row>
    <row r="11">
      <c r="A11" s="1">
        <v>3.0</v>
      </c>
      <c r="B11" s="1" t="s">
        <v>63</v>
      </c>
      <c r="C11" s="1" t="s">
        <v>64</v>
      </c>
    </row>
    <row r="12">
      <c r="A12" s="1">
        <v>4.0</v>
      </c>
      <c r="B12" s="1" t="s">
        <v>65</v>
      </c>
      <c r="C12" s="1" t="s">
        <v>66</v>
      </c>
    </row>
    <row r="13">
      <c r="A13" s="1">
        <v>5.0</v>
      </c>
      <c r="B13" s="1" t="s">
        <v>67</v>
      </c>
      <c r="C13" s="1" t="s">
        <v>68</v>
      </c>
    </row>
    <row r="15">
      <c r="A15" s="1" t="s">
        <v>69</v>
      </c>
    </row>
    <row r="16">
      <c r="A16" s="1" t="s">
        <v>70</v>
      </c>
      <c r="B16" s="1" t="s">
        <v>71</v>
      </c>
      <c r="C16" s="1" t="s">
        <v>72</v>
      </c>
    </row>
    <row r="17">
      <c r="A17" s="1" t="s">
        <v>73</v>
      </c>
      <c r="B17" s="1" t="s">
        <v>74</v>
      </c>
      <c r="C17" s="1" t="s">
        <v>75</v>
      </c>
    </row>
    <row r="18">
      <c r="A18" s="1" t="s">
        <v>73</v>
      </c>
      <c r="B18" s="1" t="s">
        <v>76</v>
      </c>
      <c r="C18" s="1" t="s">
        <v>77</v>
      </c>
    </row>
    <row r="19">
      <c r="A19" s="1" t="s">
        <v>78</v>
      </c>
      <c r="B19" s="1" t="s">
        <v>74</v>
      </c>
      <c r="C19" s="1" t="s">
        <v>79</v>
      </c>
    </row>
    <row r="20">
      <c r="A20" s="1" t="s">
        <v>78</v>
      </c>
      <c r="B20" s="1" t="s">
        <v>76</v>
      </c>
      <c r="C20" s="1" t="s">
        <v>80</v>
      </c>
    </row>
    <row r="21" ht="15.75" customHeight="1"/>
    <row r="22" ht="15.75" customHeight="1">
      <c r="A22" s="1" t="s">
        <v>81</v>
      </c>
    </row>
    <row r="23" ht="15.75" customHeight="1">
      <c r="A23" s="1" t="s">
        <v>70</v>
      </c>
      <c r="B23" s="1" t="s">
        <v>82</v>
      </c>
      <c r="C23" s="1" t="s">
        <v>83</v>
      </c>
    </row>
    <row r="24" ht="15.75" customHeight="1">
      <c r="A24" s="1" t="s">
        <v>73</v>
      </c>
      <c r="B24" s="1" t="s">
        <v>84</v>
      </c>
      <c r="C24" s="1" t="s">
        <v>85</v>
      </c>
    </row>
    <row r="25" ht="15.75" customHeight="1">
      <c r="A25" s="1" t="s">
        <v>73</v>
      </c>
      <c r="B25" s="1" t="s">
        <v>86</v>
      </c>
      <c r="C25" s="1" t="s">
        <v>85</v>
      </c>
    </row>
    <row r="26" ht="15.75" customHeight="1">
      <c r="A26" s="1" t="s">
        <v>73</v>
      </c>
      <c r="B26" s="1" t="s">
        <v>87</v>
      </c>
      <c r="C26" s="1" t="s">
        <v>85</v>
      </c>
    </row>
    <row r="27" ht="15.75" customHeight="1">
      <c r="A27" s="1" t="s">
        <v>78</v>
      </c>
      <c r="B27" s="1" t="s">
        <v>84</v>
      </c>
      <c r="C27" s="1" t="s">
        <v>88</v>
      </c>
    </row>
    <row r="28" ht="15.75" customHeight="1">
      <c r="A28" s="1" t="s">
        <v>78</v>
      </c>
      <c r="B28" s="1" t="s">
        <v>86</v>
      </c>
      <c r="C28" s="1" t="s">
        <v>89</v>
      </c>
    </row>
    <row r="29" ht="15.75" customHeight="1">
      <c r="A29" s="1" t="s">
        <v>78</v>
      </c>
      <c r="B29" s="1" t="s">
        <v>87</v>
      </c>
      <c r="C29" s="1" t="s">
        <v>90</v>
      </c>
    </row>
    <row r="30" ht="15.75" customHeight="1"/>
    <row r="31" ht="15.75" customHeight="1">
      <c r="A31" s="1" t="s">
        <v>91</v>
      </c>
    </row>
    <row r="32" ht="15.75" customHeight="1">
      <c r="A32" s="1" t="s">
        <v>92</v>
      </c>
      <c r="B32" s="1" t="s">
        <v>93</v>
      </c>
      <c r="C32" s="1" t="s">
        <v>94</v>
      </c>
      <c r="D32" s="1" t="s">
        <v>95</v>
      </c>
    </row>
    <row r="33" ht="15.75" customHeight="1">
      <c r="A33" s="1" t="s">
        <v>96</v>
      </c>
      <c r="B33" s="1" t="s">
        <v>97</v>
      </c>
      <c r="C33" s="1" t="s">
        <v>98</v>
      </c>
      <c r="D33" s="1" t="s">
        <v>99</v>
      </c>
    </row>
    <row r="34" ht="15.75" customHeight="1">
      <c r="A34" s="1" t="s">
        <v>100</v>
      </c>
      <c r="B34" s="1" t="s">
        <v>101</v>
      </c>
      <c r="C34" s="1" t="s">
        <v>102</v>
      </c>
      <c r="D34" s="1" t="s">
        <v>103</v>
      </c>
    </row>
    <row r="35" ht="15.75" customHeight="1">
      <c r="A35" s="1" t="s">
        <v>104</v>
      </c>
      <c r="B35" s="1" t="s">
        <v>105</v>
      </c>
      <c r="C35" s="1" t="s">
        <v>106</v>
      </c>
      <c r="D35" s="1" t="s">
        <v>107</v>
      </c>
    </row>
    <row r="36" ht="15.75" customHeight="1">
      <c r="A36" s="1" t="s">
        <v>108</v>
      </c>
      <c r="B36" s="1" t="s">
        <v>109</v>
      </c>
      <c r="C36" s="1" t="s">
        <v>110</v>
      </c>
      <c r="D36" s="1" t="s">
        <v>111</v>
      </c>
    </row>
    <row r="37" ht="15.75" customHeight="1">
      <c r="A37" s="1" t="s">
        <v>112</v>
      </c>
      <c r="B37" s="1" t="s">
        <v>113</v>
      </c>
      <c r="C37" s="1" t="s">
        <v>114</v>
      </c>
      <c r="D37" s="1" t="s">
        <v>115</v>
      </c>
    </row>
    <row r="38" ht="15.75" customHeight="1">
      <c r="A38" s="1" t="s">
        <v>116</v>
      </c>
      <c r="B38" s="1" t="s">
        <v>117</v>
      </c>
      <c r="C38" s="1" t="s">
        <v>118</v>
      </c>
      <c r="D38" s="1" t="s">
        <v>119</v>
      </c>
    </row>
    <row r="39" ht="15.75" customHeight="1">
      <c r="A39" s="1" t="s">
        <v>120</v>
      </c>
      <c r="B39" s="1" t="s">
        <v>121</v>
      </c>
      <c r="C39" s="1" t="s">
        <v>122</v>
      </c>
      <c r="D39" s="1" t="s">
        <v>123</v>
      </c>
    </row>
    <row r="40" ht="15.75" customHeight="1">
      <c r="A40" s="1" t="s">
        <v>124</v>
      </c>
      <c r="B40" s="1" t="s">
        <v>125</v>
      </c>
      <c r="C40" s="1" t="s">
        <v>126</v>
      </c>
      <c r="D40" s="1" t="s">
        <v>127</v>
      </c>
    </row>
    <row r="41" ht="15.75" customHeight="1">
      <c r="A41" s="1" t="s">
        <v>128</v>
      </c>
      <c r="B41" s="1" t="s">
        <v>129</v>
      </c>
      <c r="C41" s="1" t="s">
        <v>130</v>
      </c>
      <c r="D41" s="1" t="s">
        <v>131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9.0"/>
    <col customWidth="1" min="3" max="3" width="67.0"/>
    <col customWidth="1" min="4" max="4" width="90.43"/>
    <col customWidth="1" min="5" max="5" width="104.43"/>
    <col customWidth="1" min="6" max="26" width="8.71"/>
  </cols>
  <sheetData>
    <row r="1">
      <c r="A1" s="1" t="s">
        <v>92</v>
      </c>
      <c r="B1" s="1" t="s">
        <v>132</v>
      </c>
      <c r="C1" s="1" t="s">
        <v>133</v>
      </c>
      <c r="D1" s="1" t="s">
        <v>134</v>
      </c>
      <c r="E1" s="1" t="s">
        <v>135</v>
      </c>
    </row>
    <row r="2">
      <c r="A2" s="1" t="s">
        <v>96</v>
      </c>
      <c r="B2" s="1" t="s">
        <v>136</v>
      </c>
      <c r="C2" s="1" t="s">
        <v>137</v>
      </c>
      <c r="D2" s="1" t="s">
        <v>138</v>
      </c>
      <c r="E2" s="1" t="s">
        <v>139</v>
      </c>
    </row>
    <row r="3">
      <c r="A3" s="1" t="s">
        <v>96</v>
      </c>
      <c r="B3" s="1" t="s">
        <v>140</v>
      </c>
      <c r="C3" s="1" t="s">
        <v>137</v>
      </c>
      <c r="D3" s="1" t="s">
        <v>141</v>
      </c>
      <c r="E3" s="1" t="s">
        <v>142</v>
      </c>
    </row>
    <row r="4">
      <c r="A4" s="1" t="s">
        <v>96</v>
      </c>
      <c r="B4" s="1" t="s">
        <v>143</v>
      </c>
      <c r="C4" s="1" t="s">
        <v>137</v>
      </c>
      <c r="D4" s="1" t="s">
        <v>144</v>
      </c>
      <c r="E4" s="1" t="s">
        <v>145</v>
      </c>
    </row>
    <row r="5">
      <c r="A5" s="1" t="s">
        <v>100</v>
      </c>
      <c r="B5" s="1" t="s">
        <v>146</v>
      </c>
      <c r="C5" s="1" t="s">
        <v>147</v>
      </c>
      <c r="D5" s="1" t="s">
        <v>148</v>
      </c>
      <c r="E5" s="1" t="s">
        <v>149</v>
      </c>
    </row>
    <row r="6">
      <c r="A6" s="1" t="s">
        <v>100</v>
      </c>
      <c r="B6" s="1" t="s">
        <v>150</v>
      </c>
      <c r="C6" s="1" t="s">
        <v>147</v>
      </c>
      <c r="D6" s="1" t="s">
        <v>151</v>
      </c>
      <c r="E6" s="1" t="s">
        <v>152</v>
      </c>
    </row>
    <row r="7">
      <c r="A7" s="1" t="s">
        <v>100</v>
      </c>
      <c r="B7" s="1" t="s">
        <v>153</v>
      </c>
      <c r="C7" s="1" t="s">
        <v>147</v>
      </c>
      <c r="D7" s="1" t="s">
        <v>154</v>
      </c>
      <c r="E7" s="1" t="s">
        <v>155</v>
      </c>
    </row>
    <row r="8">
      <c r="A8" s="1" t="s">
        <v>104</v>
      </c>
      <c r="B8" s="1" t="s">
        <v>156</v>
      </c>
      <c r="C8" s="1" t="s">
        <v>157</v>
      </c>
      <c r="D8" s="1" t="s">
        <v>158</v>
      </c>
      <c r="E8" s="1" t="s">
        <v>159</v>
      </c>
    </row>
    <row r="9">
      <c r="A9" s="1" t="s">
        <v>104</v>
      </c>
      <c r="B9" s="1" t="s">
        <v>160</v>
      </c>
      <c r="C9" s="1" t="s">
        <v>157</v>
      </c>
      <c r="D9" s="1" t="s">
        <v>161</v>
      </c>
      <c r="E9" s="1" t="s">
        <v>162</v>
      </c>
    </row>
    <row r="10">
      <c r="A10" s="1" t="s">
        <v>104</v>
      </c>
      <c r="B10" s="1" t="s">
        <v>163</v>
      </c>
      <c r="C10" s="1" t="s">
        <v>157</v>
      </c>
      <c r="D10" s="1" t="s">
        <v>164</v>
      </c>
      <c r="E10" s="1" t="s">
        <v>165</v>
      </c>
    </row>
    <row r="11">
      <c r="A11" s="1" t="s">
        <v>108</v>
      </c>
      <c r="B11" s="1" t="s">
        <v>166</v>
      </c>
      <c r="C11" s="1" t="s">
        <v>167</v>
      </c>
      <c r="D11" s="1" t="s">
        <v>168</v>
      </c>
      <c r="E11" s="1" t="s">
        <v>169</v>
      </c>
    </row>
    <row r="12">
      <c r="A12" s="1" t="s">
        <v>108</v>
      </c>
      <c r="B12" s="1" t="s">
        <v>170</v>
      </c>
      <c r="C12" s="1" t="s">
        <v>167</v>
      </c>
      <c r="D12" s="1" t="s">
        <v>171</v>
      </c>
      <c r="E12" s="1" t="s">
        <v>172</v>
      </c>
    </row>
    <row r="13">
      <c r="A13" s="1" t="s">
        <v>108</v>
      </c>
      <c r="B13" s="1" t="s">
        <v>173</v>
      </c>
      <c r="C13" s="1" t="s">
        <v>167</v>
      </c>
      <c r="D13" s="1" t="s">
        <v>174</v>
      </c>
      <c r="E13" s="1" t="s">
        <v>175</v>
      </c>
    </row>
    <row r="14">
      <c r="A14" s="1" t="s">
        <v>112</v>
      </c>
      <c r="B14" s="1" t="s">
        <v>176</v>
      </c>
      <c r="C14" s="1" t="s">
        <v>177</v>
      </c>
      <c r="D14" s="1" t="s">
        <v>178</v>
      </c>
      <c r="E14" s="1" t="s">
        <v>179</v>
      </c>
    </row>
    <row r="15">
      <c r="A15" s="1" t="s">
        <v>112</v>
      </c>
      <c r="B15" s="1" t="s">
        <v>180</v>
      </c>
      <c r="C15" s="1" t="s">
        <v>177</v>
      </c>
      <c r="D15" s="1" t="s">
        <v>181</v>
      </c>
      <c r="E15" s="1" t="s">
        <v>182</v>
      </c>
    </row>
    <row r="16">
      <c r="A16" s="1" t="s">
        <v>112</v>
      </c>
      <c r="B16" s="1" t="s">
        <v>183</v>
      </c>
      <c r="C16" s="1" t="s">
        <v>177</v>
      </c>
      <c r="D16" s="1" t="s">
        <v>184</v>
      </c>
      <c r="E16" s="1" t="s">
        <v>185</v>
      </c>
    </row>
    <row r="17">
      <c r="A17" s="1" t="s">
        <v>116</v>
      </c>
      <c r="B17" s="1" t="s">
        <v>186</v>
      </c>
      <c r="C17" s="1" t="s">
        <v>187</v>
      </c>
      <c r="D17" s="1" t="s">
        <v>188</v>
      </c>
      <c r="E17" s="1" t="s">
        <v>189</v>
      </c>
    </row>
    <row r="18">
      <c r="A18" s="1" t="s">
        <v>116</v>
      </c>
      <c r="B18" s="1" t="s">
        <v>190</v>
      </c>
      <c r="C18" s="1" t="s">
        <v>187</v>
      </c>
      <c r="D18" s="1" t="s">
        <v>191</v>
      </c>
      <c r="E18" s="1" t="s">
        <v>192</v>
      </c>
    </row>
    <row r="19">
      <c r="A19" s="1" t="s">
        <v>116</v>
      </c>
      <c r="B19" s="1" t="s">
        <v>193</v>
      </c>
      <c r="C19" s="1" t="s">
        <v>187</v>
      </c>
      <c r="D19" s="1" t="s">
        <v>194</v>
      </c>
      <c r="E19" s="1" t="s">
        <v>195</v>
      </c>
    </row>
    <row r="20">
      <c r="A20" s="1" t="s">
        <v>120</v>
      </c>
      <c r="B20" s="1" t="s">
        <v>196</v>
      </c>
      <c r="C20" s="1" t="s">
        <v>197</v>
      </c>
      <c r="D20" s="1" t="s">
        <v>198</v>
      </c>
      <c r="E20" s="1" t="s">
        <v>199</v>
      </c>
    </row>
    <row r="21" ht="15.75" customHeight="1">
      <c r="A21" s="1" t="s">
        <v>120</v>
      </c>
      <c r="B21" s="1" t="s">
        <v>200</v>
      </c>
      <c r="C21" s="1" t="s">
        <v>197</v>
      </c>
      <c r="D21" s="1" t="s">
        <v>201</v>
      </c>
      <c r="E21" s="1" t="s">
        <v>202</v>
      </c>
    </row>
    <row r="22" ht="15.75" customHeight="1">
      <c r="A22" s="1" t="s">
        <v>120</v>
      </c>
      <c r="B22" s="1" t="s">
        <v>203</v>
      </c>
      <c r="C22" s="1" t="s">
        <v>197</v>
      </c>
      <c r="D22" s="1" t="s">
        <v>204</v>
      </c>
      <c r="E22" s="1" t="s">
        <v>205</v>
      </c>
    </row>
    <row r="23" ht="15.75" customHeight="1">
      <c r="A23" s="1" t="s">
        <v>124</v>
      </c>
      <c r="B23" s="1" t="s">
        <v>206</v>
      </c>
      <c r="C23" s="1" t="s">
        <v>207</v>
      </c>
      <c r="D23" s="1" t="s">
        <v>208</v>
      </c>
      <c r="E23" s="1" t="s">
        <v>209</v>
      </c>
    </row>
    <row r="24" ht="15.75" customHeight="1">
      <c r="A24" s="1" t="s">
        <v>124</v>
      </c>
      <c r="B24" s="1" t="s">
        <v>210</v>
      </c>
      <c r="C24" s="1" t="s">
        <v>207</v>
      </c>
      <c r="D24" s="1" t="s">
        <v>211</v>
      </c>
      <c r="E24" s="1" t="s">
        <v>212</v>
      </c>
    </row>
    <row r="25" ht="15.75" customHeight="1">
      <c r="A25" s="1" t="s">
        <v>124</v>
      </c>
      <c r="B25" s="1" t="s">
        <v>213</v>
      </c>
      <c r="C25" s="1" t="s">
        <v>207</v>
      </c>
      <c r="D25" s="1" t="s">
        <v>214</v>
      </c>
      <c r="E25" s="1" t="s">
        <v>215</v>
      </c>
    </row>
    <row r="26" ht="15.75" customHeight="1">
      <c r="A26" s="1" t="s">
        <v>128</v>
      </c>
      <c r="B26" s="1" t="s">
        <v>216</v>
      </c>
      <c r="C26" s="1" t="s">
        <v>217</v>
      </c>
      <c r="D26" s="1" t="s">
        <v>218</v>
      </c>
      <c r="E26" s="1" t="s">
        <v>219</v>
      </c>
    </row>
    <row r="27" ht="15.75" customHeight="1">
      <c r="A27" s="1" t="s">
        <v>128</v>
      </c>
      <c r="B27" s="1" t="s">
        <v>220</v>
      </c>
      <c r="C27" s="1" t="s">
        <v>217</v>
      </c>
      <c r="D27" s="1" t="s">
        <v>221</v>
      </c>
      <c r="E27" s="1" t="s">
        <v>222</v>
      </c>
    </row>
    <row r="28" ht="15.75" customHeight="1">
      <c r="A28" s="1" t="s">
        <v>128</v>
      </c>
      <c r="B28" s="1" t="s">
        <v>223</v>
      </c>
      <c r="C28" s="1" t="s">
        <v>217</v>
      </c>
      <c r="D28" s="1" t="s">
        <v>224</v>
      </c>
      <c r="E28" s="1" t="s">
        <v>225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1.57"/>
    <col customWidth="1" min="3" max="3" width="19.86"/>
    <col customWidth="1" min="4" max="4" width="22.71"/>
    <col customWidth="1" min="5" max="5" width="8.71"/>
    <col customWidth="1" min="6" max="6" width="20.86"/>
    <col customWidth="1" min="7" max="7" width="19.29"/>
    <col customWidth="1" min="8" max="8" width="17.71"/>
    <col customWidth="1" min="9" max="9" width="33.0"/>
    <col customWidth="1" min="10" max="26" width="8.71"/>
  </cols>
  <sheetData>
    <row r="1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8.71"/>
  </cols>
  <sheetData>
    <row r="1">
      <c r="A1" s="1" t="s">
        <v>235</v>
      </c>
      <c r="B1" s="1" t="s">
        <v>226</v>
      </c>
      <c r="C1" s="1" t="s">
        <v>227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136</v>
      </c>
      <c r="I1" s="1" t="s">
        <v>140</v>
      </c>
      <c r="J1" s="1" t="s">
        <v>143</v>
      </c>
      <c r="K1" s="1" t="s">
        <v>146</v>
      </c>
      <c r="L1" s="1" t="s">
        <v>150</v>
      </c>
      <c r="M1" s="1" t="s">
        <v>153</v>
      </c>
      <c r="N1" s="1" t="s">
        <v>156</v>
      </c>
      <c r="O1" s="1" t="s">
        <v>160</v>
      </c>
      <c r="P1" s="1" t="s">
        <v>163</v>
      </c>
      <c r="Q1" s="1" t="s">
        <v>166</v>
      </c>
      <c r="R1" s="1" t="s">
        <v>170</v>
      </c>
      <c r="S1" s="1" t="s">
        <v>173</v>
      </c>
      <c r="T1" s="1" t="s">
        <v>176</v>
      </c>
      <c r="U1" s="1" t="s">
        <v>180</v>
      </c>
      <c r="V1" s="1" t="s">
        <v>183</v>
      </c>
      <c r="W1" s="1" t="s">
        <v>186</v>
      </c>
      <c r="X1" s="1" t="s">
        <v>190</v>
      </c>
      <c r="Y1" s="1" t="s">
        <v>193</v>
      </c>
      <c r="Z1" s="1" t="s">
        <v>196</v>
      </c>
      <c r="AA1" s="1" t="s">
        <v>200</v>
      </c>
      <c r="AB1" s="1" t="s">
        <v>203</v>
      </c>
      <c r="AC1" s="1" t="s">
        <v>206</v>
      </c>
      <c r="AD1" s="1" t="s">
        <v>210</v>
      </c>
      <c r="AE1" s="1" t="s">
        <v>213</v>
      </c>
      <c r="AF1" s="1" t="s">
        <v>216</v>
      </c>
      <c r="AG1" s="1" t="s">
        <v>220</v>
      </c>
      <c r="AH1" s="1" t="s">
        <v>223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84</v>
      </c>
      <c r="AP1" s="1" t="s">
        <v>86</v>
      </c>
      <c r="AQ1" s="1" t="s">
        <v>87</v>
      </c>
      <c r="AR1" s="1" t="s">
        <v>246</v>
      </c>
      <c r="AS1" s="1" t="s">
        <v>247</v>
      </c>
      <c r="AT1" s="1" t="s">
        <v>248</v>
      </c>
      <c r="AU1" s="1" t="s">
        <v>249</v>
      </c>
      <c r="AV1" s="1" t="s">
        <v>250</v>
      </c>
      <c r="AW1" s="1" t="s">
        <v>251</v>
      </c>
      <c r="AX1" s="1" t="s">
        <v>252</v>
      </c>
      <c r="AY1" s="1" t="s">
        <v>253</v>
      </c>
      <c r="AZ1" s="1" t="s">
        <v>254</v>
      </c>
    </row>
    <row r="2">
      <c r="AR2" s="1" t="str">
        <f>IF(COUNTA(H2:J2)=0,"",AVERAGE(H2:J2))</f>
        <v/>
      </c>
      <c r="AS2" s="1" t="str">
        <f>IF(COUNTA(K2:M2)=0,"",AVERAGE(K2:M2))</f>
        <v/>
      </c>
      <c r="AT2" s="1" t="str">
        <f>IF(COUNTA(N2:P2)=0,"",AVERAGE(N2:P2))</f>
        <v/>
      </c>
      <c r="AU2" s="1" t="str">
        <f>IF(COUNTA(Q2:S2)=0,"",AVERAGE(Q2:S2))</f>
        <v/>
      </c>
      <c r="AV2" s="1" t="str">
        <f>IF(COUNTA(T2:V2)=0,"",AVERAGE(T2:V2))</f>
        <v/>
      </c>
      <c r="AW2" s="1" t="str">
        <f>IF(COUNTA(W2:Y2)=0,"",AVERAGE(W2:Y2))</f>
        <v/>
      </c>
      <c r="AX2" s="1" t="str">
        <f>IF(COUNTA(Z2:AB2)=0,"",AVERAGE(Z2:AB2))</f>
        <v/>
      </c>
      <c r="AY2" s="1" t="str">
        <f>IF(COUNTA(AC2:AE2)=0,"",AVERAGE(AC2:AE2))</f>
        <v/>
      </c>
      <c r="AZ2" s="1" t="str">
        <f>IF(COUNTA(AF2:AH2)=0,"",AVERAGE(AF2:AH2))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226</v>
      </c>
      <c r="B1" s="1" t="s">
        <v>227</v>
      </c>
      <c r="C1" s="1" t="s">
        <v>229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</v>
      </c>
    </row>
    <row r="2">
      <c r="A2" s="1" t="s">
        <v>1</v>
      </c>
      <c r="B2" s="1" t="s">
        <v>261</v>
      </c>
    </row>
    <row r="4">
      <c r="A4" s="1" t="s">
        <v>262</v>
      </c>
      <c r="B4" s="1" t="s">
        <v>263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" t="s">
        <v>226</v>
      </c>
      <c r="B1" s="1" t="s">
        <v>227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  <c r="X1" s="1" t="s">
        <v>285</v>
      </c>
      <c r="Y1" s="1" t="s">
        <v>286</v>
      </c>
      <c r="Z1" s="1" t="s">
        <v>287</v>
      </c>
      <c r="AA1" s="1" t="s">
        <v>288</v>
      </c>
      <c r="AB1" s="1" t="s">
        <v>289</v>
      </c>
      <c r="AC1" s="1" t="s">
        <v>290</v>
      </c>
      <c r="AD1" s="1" t="s">
        <v>291</v>
      </c>
      <c r="AE1" s="1" t="s">
        <v>292</v>
      </c>
      <c r="AF1" s="1" t="s">
        <v>293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</row>
    <row r="2">
      <c r="C2" s="1" t="str">
        <f t="shared" ref="C2:D2" si="1">IFERROR(AVERAGE(F2,I2,L2,O2,R2,U2,X2,AA2,AD2),"")</f>
        <v/>
      </c>
      <c r="D2" s="1" t="str">
        <f t="shared" si="1"/>
        <v/>
      </c>
      <c r="E2" s="1" t="str">
        <f>IF(OR(C2="",D2=""),"",C2-D2)</f>
        <v/>
      </c>
      <c r="H2" s="1" t="str">
        <f>IF(OR(F2="",G2=""),"",F2-G2)</f>
        <v/>
      </c>
      <c r="K2" s="1" t="str">
        <f>IF(OR(I2="",J2=""),"",I2-J2)</f>
        <v/>
      </c>
      <c r="N2" s="1" t="str">
        <f>IF(OR(L2="",M2=""),"",L2-M2)</f>
        <v/>
      </c>
      <c r="Q2" s="1" t="str">
        <f>IF(OR(O2="",P2=""),"",O2-P2)</f>
        <v/>
      </c>
      <c r="T2" s="1" t="str">
        <f>IF(OR(R2="",S2=""),"",R2-S2)</f>
        <v/>
      </c>
      <c r="W2" s="1" t="str">
        <f>IF(OR(U2="",V2=""),"",U2-V2)</f>
        <v/>
      </c>
      <c r="Z2" s="1" t="str">
        <f>IF(OR(X2="",Y2=""),"",X2-Y2)</f>
        <v/>
      </c>
      <c r="AC2" s="1" t="str">
        <f>IF(OR(AA2="",AB2=""),"",AA2-AB2)</f>
        <v/>
      </c>
      <c r="AF2" s="1" t="str">
        <f>IF(OR(AD2="",AE2=""),"",AD2-AE2)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302</v>
      </c>
      <c r="B1" s="1" t="s">
        <v>303</v>
      </c>
      <c r="C1" s="1" t="s">
        <v>234</v>
      </c>
    </row>
    <row r="2">
      <c r="A2" s="1" t="s">
        <v>304</v>
      </c>
      <c r="B2" s="1">
        <v>2.0</v>
      </c>
      <c r="C2" s="1" t="s">
        <v>305</v>
      </c>
    </row>
    <row r="3">
      <c r="A3" s="1" t="s">
        <v>226</v>
      </c>
      <c r="B3" s="1" t="str">
        <f t="array" ref="B3">INDEX(Report_Export!A:A,B2)</f>
        <v/>
      </c>
      <c r="C3" s="1" t="s">
        <v>306</v>
      </c>
    </row>
    <row r="4">
      <c r="A4" s="1" t="s">
        <v>227</v>
      </c>
      <c r="B4" s="1" t="str">
        <f t="array" ref="B4">INDEX(Report_Export!B:B,B2)</f>
        <v/>
      </c>
      <c r="C4" s="1" t="s">
        <v>306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8.71"/>
  </cols>
  <sheetData>
    <row r="1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320</v>
      </c>
      <c r="O1" s="1" t="s">
        <v>321</v>
      </c>
      <c r="P1" s="1" t="s">
        <v>322</v>
      </c>
      <c r="Q1" s="1" t="s">
        <v>323</v>
      </c>
      <c r="R1" s="1" t="s">
        <v>324</v>
      </c>
      <c r="S1" s="1" t="s">
        <v>325</v>
      </c>
      <c r="T1" s="1" t="s">
        <v>326</v>
      </c>
      <c r="U1" s="1" t="s">
        <v>327</v>
      </c>
      <c r="V1" s="1" t="s">
        <v>328</v>
      </c>
      <c r="W1" s="1" t="s">
        <v>329</v>
      </c>
      <c r="X1" s="1" t="s">
        <v>330</v>
      </c>
      <c r="Y1" s="1" t="s">
        <v>331</v>
      </c>
      <c r="Z1" s="1" t="s">
        <v>332</v>
      </c>
      <c r="AA1" s="1" t="s">
        <v>333</v>
      </c>
      <c r="AB1" s="1" t="s">
        <v>334</v>
      </c>
      <c r="AC1" s="1" t="s">
        <v>335</v>
      </c>
      <c r="AD1" s="1" t="s">
        <v>336</v>
      </c>
      <c r="AE1" s="1" t="s">
        <v>337</v>
      </c>
      <c r="AF1" s="1" t="s">
        <v>338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1" t="s">
        <v>346</v>
      </c>
    </row>
    <row r="2">
      <c r="A2" s="1" t="str">
        <f t="array" ref="A2">INDEX(Report_Export!A:A,Report_Control!$B$2)</f>
        <v/>
      </c>
      <c r="B2" s="1" t="str">
        <f t="array" ref="B2">INDEX(Report_Export!B:B,Report_Control!$B$2)</f>
        <v/>
      </c>
      <c r="C2" s="1" t="str">
        <f t="array" ref="C2">INDEX(Report_Export!C:C,Report_Control!$B$2)</f>
        <v/>
      </c>
      <c r="D2" s="1" t="str">
        <f t="array" ref="D2">INDEX(Report_Export!D:D,Report_Control!$B$2)</f>
        <v/>
      </c>
      <c r="E2" s="1" t="str">
        <f t="array" ref="E2">INDEX(Report_Export!E:E,Report_Control!$B$2)</f>
        <v/>
      </c>
      <c r="F2" s="1" t="str">
        <f t="array" ref="F2">INDEX(Report_Export!F:F,Report_Control!$B$2)</f>
        <v/>
      </c>
      <c r="G2" s="1" t="str">
        <f t="array" ref="G2">INDEX(Report_Export!G:G,Report_Control!$B$2)</f>
        <v/>
      </c>
      <c r="H2" s="1" t="str">
        <f t="array" ref="H2">INDEX(Report_Export!H:H,Report_Control!$B$2)</f>
        <v/>
      </c>
      <c r="I2" s="1" t="str">
        <f t="array" ref="I2">INDEX(Report_Export!I:I,Report_Control!$B$2)</f>
        <v/>
      </c>
      <c r="J2" s="1" t="str">
        <f t="array" ref="J2">INDEX(Report_Export!J:J,Report_Control!$B$2)</f>
        <v/>
      </c>
      <c r="K2" s="1" t="str">
        <f t="array" ref="K2">INDEX(Report_Export!K:K,Report_Control!$B$2)</f>
        <v/>
      </c>
      <c r="L2" s="1" t="str">
        <f t="array" ref="L2">INDEX(Report_Export!L:L,Report_Control!$B$2)</f>
        <v/>
      </c>
      <c r="M2" s="1" t="str">
        <f t="array" ref="M2">INDEX(Report_Export!M:M,Report_Control!$B$2)</f>
        <v/>
      </c>
      <c r="N2" s="1" t="str">
        <f t="array" ref="N2">INDEX(Report_Export!N:N,Report_Control!$B$2)</f>
        <v/>
      </c>
      <c r="O2" s="1" t="str">
        <f t="array" ref="O2">INDEX(Report_Export!O:O,Report_Control!$B$2)</f>
        <v/>
      </c>
      <c r="P2" s="1" t="str">
        <f t="array" ref="P2">INDEX(Report_Export!P:P,Report_Control!$B$2)</f>
        <v/>
      </c>
      <c r="Q2" s="1" t="str">
        <f t="array" ref="Q2">INDEX(Report_Export!Q:Q,Report_Control!$B$2)</f>
        <v/>
      </c>
      <c r="R2" s="1" t="str">
        <f t="array" ref="R2">INDEX(Report_Export!R:R,Report_Control!$B$2)</f>
        <v/>
      </c>
      <c r="S2" s="1" t="str">
        <f t="array" ref="S2">INDEX(Report_Export!S:S,Report_Control!$B$2)</f>
        <v/>
      </c>
      <c r="T2" s="1" t="str">
        <f t="array" ref="T2">INDEX(Report_Export!T:T,Report_Control!$B$2)</f>
        <v/>
      </c>
      <c r="U2" s="1" t="str">
        <f t="array" ref="U2">INDEX(Report_Export!U:U,Report_Control!$B$2)</f>
        <v/>
      </c>
      <c r="V2" s="1" t="str">
        <f t="array" ref="V2">INDEX(Report_Export!V:V,Report_Control!$B$2)</f>
        <v/>
      </c>
      <c r="W2" s="1" t="str">
        <f t="array" ref="W2">INDEX(Report_Export!W:W,Report_Control!$B$2)</f>
        <v/>
      </c>
      <c r="X2" s="1" t="str">
        <f t="array" ref="X2">INDEX(Report_Export!X:X,Report_Control!$B$2)</f>
        <v/>
      </c>
      <c r="Y2" s="1" t="str">
        <f t="array" ref="Y2">INDEX(Report_Export!Y:Y,Report_Control!$B$2)</f>
        <v/>
      </c>
      <c r="Z2" s="1" t="str">
        <f t="array" ref="Z2">INDEX(Report_Export!Z:Z,Report_Control!$B$2)</f>
        <v/>
      </c>
      <c r="AA2" s="1" t="str">
        <f t="array" ref="AA2">INDEX(Report_Export!AA:AA,Report_Control!$B$2)</f>
        <v/>
      </c>
      <c r="AB2" s="1" t="str">
        <f t="array" ref="AB2">INDEX(Report_Export!AB:AB,Report_Control!$B$2)</f>
        <v/>
      </c>
      <c r="AC2" s="1" t="str">
        <f t="array" ref="AC2">INDEX(Report_Export!AC:AC,Report_Control!$B$2)</f>
        <v/>
      </c>
      <c r="AD2" s="1" t="str">
        <f t="array" ref="AD2">INDEX(Report_Export!AD:AD,Report_Control!$B$2)</f>
        <v/>
      </c>
      <c r="AE2" s="1" t="str">
        <f t="array" ref="AE2">INDEX(Report_Export!AE:AE,Report_Control!$B$2)</f>
        <v/>
      </c>
      <c r="AF2" s="1" t="str">
        <f t="array" ref="AF2">INDEX(Report_Export!AF:AF,Report_Control!$B$2)</f>
        <v/>
      </c>
      <c r="AG2" s="1" t="str">
        <f t="array" ref="AG2">INDEX(Report_Export!AG:AG,Report_Control!$B$2)</f>
        <v/>
      </c>
      <c r="AH2" s="1" t="str">
        <f t="array" ref="AH2">INDEX(Report_Export!AH:AH,Report_Control!$B$2)</f>
        <v/>
      </c>
      <c r="AI2" s="1" t="str">
        <f t="array" ref="AI2">INDEX(Report_Export!AI:AI,Report_Control!$B$2)</f>
        <v/>
      </c>
      <c r="AJ2" s="1" t="str">
        <f t="array" ref="AJ2">INDEX(Report_Export!AJ:AJ,Report_Control!$B$2)</f>
        <v/>
      </c>
      <c r="AK2" s="1" t="str">
        <f t="array" ref="AK2">INDEX(Report_Export!AK:AK,Report_Control!$B$2)</f>
        <v/>
      </c>
      <c r="AL2" s="1" t="str">
        <f t="array" ref="AL2">SUBSTITUTE(SUBSTITUTE(INDEX(Report_Export!AL:AL,Report_Control!$B$2),CHAR(13),""),CHAR(10),"&lt;br&gt;&lt;br&gt;")</f>
        <v/>
      </c>
      <c r="AM2" s="1" t="str">
        <f t="array" ref="AM2">SUBSTITUTE(SUBSTITUTE(INDEX(Report_Export!AM:AM,Report_Control!$B$2),CHAR(13),""),CHAR(10),"&lt;br&gt;&lt;br&gt;")</f>
        <v/>
      </c>
      <c r="AN2" s="1" t="str">
        <f t="array" ref="AN2">SUBSTITUTE(SUBSTITUTE(INDEX(Report_Export!AN:AN,Report_Control!$B$2),CHAR(13),""),CHAR(10),"&lt;br&gt;&lt;br&gt;")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347</v>
      </c>
      <c r="B1" s="1" t="s">
        <v>348</v>
      </c>
      <c r="C1" s="1" t="s">
        <v>234</v>
      </c>
    </row>
    <row r="2">
      <c r="A2" s="1" t="s">
        <v>349</v>
      </c>
      <c r="B2" s="1">
        <v>0.1</v>
      </c>
      <c r="C2" s="1" t="s">
        <v>350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